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Science\Phoca\ANALYSIS\Long term analysis\"/>
    </mc:Choice>
  </mc:AlternateContent>
  <xr:revisionPtr revIDLastSave="0" documentId="13_ncr:1_{2F5737E1-DCCF-4AF5-99B5-4EFBB7EE5B8E}" xr6:coauthVersionLast="47" xr6:coauthVersionMax="47" xr10:uidLastSave="{00000000-0000-0000-0000-000000000000}"/>
  <bookViews>
    <workbookView xWindow="-120" yWindow="-120" windowWidth="25440" windowHeight="15270" xr2:uid="{49CCC1B6-CBCC-4433-8C9F-CCECE3481BC5}"/>
  </bookViews>
  <sheets>
    <sheet name="HumanDistRate" sheetId="2" r:id="rId1"/>
    <sheet name="MetaData" sheetId="3" r:id="rId2"/>
  </sheets>
  <definedNames>
    <definedName name="_xlnm._FilterDatabase" localSheetId="0" hidden="1">HumanDistRate!$B$1:$B$214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0" i="2" l="1"/>
  <c r="E223" i="2"/>
  <c r="E224" i="2"/>
  <c r="E225" i="2"/>
  <c r="E226" i="2"/>
  <c r="E227" i="2"/>
  <c r="E228" i="2"/>
  <c r="E229" i="2"/>
  <c r="E222" i="2"/>
  <c r="E215" i="2" l="1"/>
  <c r="E216" i="2"/>
  <c r="E217" i="2"/>
  <c r="E218" i="2"/>
  <c r="E219" i="2"/>
  <c r="E220" i="2"/>
  <c r="E221" i="2"/>
  <c r="E212" i="2" l="1"/>
  <c r="E204" i="2"/>
  <c r="E196" i="2"/>
  <c r="E188" i="2"/>
  <c r="E181" i="2"/>
  <c r="E173" i="2"/>
  <c r="E165" i="2"/>
  <c r="E157" i="2"/>
  <c r="E149" i="2"/>
  <c r="E141" i="2"/>
  <c r="E133" i="2"/>
  <c r="E125" i="2"/>
  <c r="E117" i="2"/>
  <c r="E109" i="2"/>
  <c r="E101" i="2"/>
  <c r="E93" i="2"/>
  <c r="E7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4" i="2"/>
  <c r="E95" i="2"/>
  <c r="E96" i="2"/>
  <c r="E97" i="2"/>
  <c r="E98" i="2"/>
  <c r="E99" i="2"/>
  <c r="E100" i="2"/>
  <c r="E102" i="2"/>
  <c r="E103" i="2"/>
  <c r="E104" i="2"/>
  <c r="E105" i="2"/>
  <c r="E106" i="2"/>
  <c r="E107" i="2"/>
  <c r="E108" i="2"/>
  <c r="E110" i="2"/>
  <c r="E111" i="2"/>
  <c r="E112" i="2"/>
  <c r="E113" i="2"/>
  <c r="E114" i="2"/>
  <c r="E115" i="2"/>
  <c r="E116" i="2"/>
  <c r="E118" i="2"/>
  <c r="E119" i="2"/>
  <c r="E120" i="2"/>
  <c r="E121" i="2"/>
  <c r="E122" i="2"/>
  <c r="E123" i="2"/>
  <c r="E124" i="2"/>
  <c r="E126" i="2"/>
  <c r="E127" i="2"/>
  <c r="E128" i="2"/>
  <c r="E129" i="2"/>
  <c r="E130" i="2"/>
  <c r="E131" i="2"/>
  <c r="E132" i="2"/>
  <c r="E134" i="2"/>
  <c r="E135" i="2"/>
  <c r="E136" i="2"/>
  <c r="E137" i="2"/>
  <c r="E138" i="2"/>
  <c r="E139" i="2"/>
  <c r="E140" i="2"/>
  <c r="E142" i="2"/>
  <c r="E143" i="2"/>
  <c r="E144" i="2"/>
  <c r="E145" i="2"/>
  <c r="E146" i="2"/>
  <c r="E147" i="2"/>
  <c r="E148" i="2"/>
  <c r="E150" i="2"/>
  <c r="E151" i="2"/>
  <c r="E152" i="2"/>
  <c r="E153" i="2"/>
  <c r="E154" i="2"/>
  <c r="E155" i="2"/>
  <c r="E156" i="2"/>
  <c r="E158" i="2"/>
  <c r="E159" i="2"/>
  <c r="E160" i="2"/>
  <c r="E161" i="2"/>
  <c r="E162" i="2"/>
  <c r="E163" i="2"/>
  <c r="E164" i="2"/>
  <c r="E166" i="2"/>
  <c r="E167" i="2"/>
  <c r="E168" i="2"/>
  <c r="E169" i="2"/>
  <c r="E170" i="2"/>
  <c r="E171" i="2"/>
  <c r="E172" i="2"/>
  <c r="E174" i="2"/>
  <c r="E175" i="2"/>
  <c r="E176" i="2"/>
  <c r="E177" i="2"/>
  <c r="E178" i="2"/>
  <c r="E179" i="2"/>
  <c r="E180" i="2"/>
  <c r="E182" i="2"/>
  <c r="E183" i="2"/>
  <c r="E184" i="2"/>
  <c r="E185" i="2"/>
  <c r="E186" i="2"/>
  <c r="E187" i="2"/>
  <c r="E189" i="2"/>
  <c r="E190" i="2"/>
  <c r="E191" i="2"/>
  <c r="E192" i="2"/>
  <c r="E193" i="2"/>
  <c r="E194" i="2"/>
  <c r="E195" i="2"/>
  <c r="E197" i="2"/>
  <c r="E198" i="2"/>
  <c r="E199" i="2"/>
  <c r="E200" i="2"/>
  <c r="E201" i="2"/>
  <c r="E202" i="2"/>
  <c r="E203" i="2"/>
  <c r="E205" i="2"/>
  <c r="E206" i="2"/>
  <c r="E207" i="2"/>
  <c r="E208" i="2"/>
  <c r="E209" i="2"/>
  <c r="E210" i="2"/>
  <c r="E211" i="2"/>
  <c r="E213" i="2"/>
  <c r="E214" i="2"/>
  <c r="E2" i="2"/>
</calcChain>
</file>

<file path=xl/sharedStrings.xml><?xml version="1.0" encoding="utf-8"?>
<sst xmlns="http://schemas.openxmlformats.org/spreadsheetml/2006/main" count="353" uniqueCount="67">
  <si>
    <t>Year</t>
  </si>
  <si>
    <t>SiteCode</t>
  </si>
  <si>
    <t>SumOfDisturbanceCount</t>
  </si>
  <si>
    <t>NSurveys</t>
  </si>
  <si>
    <t>BL</t>
  </si>
  <si>
    <t>DE</t>
  </si>
  <si>
    <t>DP</t>
  </si>
  <si>
    <t>DR</t>
  </si>
  <si>
    <t>PB</t>
  </si>
  <si>
    <t>PRH</t>
  </si>
  <si>
    <t>TB</t>
  </si>
  <si>
    <t>TP</t>
  </si>
  <si>
    <t>Disturbances/day</t>
  </si>
  <si>
    <t>qselDisturbanceRatesPass1</t>
  </si>
  <si>
    <t>Field:</t>
  </si>
  <si>
    <t>EventID</t>
  </si>
  <si>
    <t>StartDate</t>
  </si>
  <si>
    <t>StartTime</t>
  </si>
  <si>
    <t>EndTime</t>
  </si>
  <si>
    <t>DisturbanceID</t>
  </si>
  <si>
    <t>Source</t>
  </si>
  <si>
    <t>DisturbanceTime</t>
  </si>
  <si>
    <t>Count: 1</t>
  </si>
  <si>
    <t>Year([StartDate])</t>
  </si>
  <si>
    <t>Month([StartDate])</t>
  </si>
  <si>
    <t>ProjectCode</t>
  </si>
  <si>
    <t>GoodResponse</t>
  </si>
  <si>
    <t>Table:</t>
  </si>
  <si>
    <t>tblEvents</t>
  </si>
  <si>
    <t>tblDisturbances</t>
  </si>
  <si>
    <t>tluResponses</t>
  </si>
  <si>
    <t>tblLocations</t>
  </si>
  <si>
    <t>Total:</t>
  </si>
  <si>
    <t>Group By</t>
  </si>
  <si>
    <t>Where</t>
  </si>
  <si>
    <t xml:space="preserve">Criteria: </t>
  </si>
  <si>
    <t>"H_Seal"</t>
  </si>
  <si>
    <t>"TB" Or "DE" Or "BL" Or "DP" Or "TP" Or "DR" Or "PB"</t>
  </si>
  <si>
    <t>qselDisturbanceRatesPass2</t>
  </si>
  <si>
    <t>AllSitesSurveyed</t>
  </si>
  <si>
    <t>ObsTimeStart</t>
  </si>
  <si>
    <t>ObsTimeEnd</t>
  </si>
  <si>
    <t>Year: Year ([tblEvents].[StartDate])</t>
  </si>
  <si>
    <t>Month: Month([tblEvents].[StartDate])</t>
  </si>
  <si>
    <t>ObsTimeStart2: IIf([ObsTimeStart] Is Null,[tblEvents.StartTime],[ObsTimeStart])</t>
  </si>
  <si>
    <t>ObsTimeEnd2: IIf([ObsTimeStart] Is Null,[tblEvents.EndTime],[ObsTimeEnd])</t>
  </si>
  <si>
    <t>Count</t>
  </si>
  <si>
    <t>DisturbanceCount: Sum(Nz([Count]))</t>
  </si>
  <si>
    <t>tblPhocaEvents</t>
  </si>
  <si>
    <t>Expression</t>
  </si>
  <si>
    <t>Sort:</t>
  </si>
  <si>
    <t>Ascending</t>
  </si>
  <si>
    <t>qselDisturbanceRates</t>
  </si>
  <si>
    <t>SiteName</t>
  </si>
  <si>
    <t>DisturbanceCount</t>
  </si>
  <si>
    <t>SurveyMinutes: Sum(DateDiff("n",[ObsTimestart2],[ObsTimeEnd2]))</t>
  </si>
  <si>
    <t>SurveyHours: [SurveyMinutes]/60</t>
  </si>
  <si>
    <t>Nsurveys:EventID</t>
  </si>
  <si>
    <t>DisturbPerHour: ([SumOfDisturbanceCount]/([SurveyMinutes]/60))</t>
  </si>
  <si>
    <t>tluSites</t>
  </si>
  <si>
    <t>Sum</t>
  </si>
  <si>
    <t>Query details (Example for 2024 data):</t>
  </si>
  <si>
    <t>Between 3 and 7</t>
  </si>
  <si>
    <t xml:space="preserve">Database queries: qselDisturbanceRatesPass1, then qselDisturbanceRatesPass2, and then qselDisturbanceRates </t>
  </si>
  <si>
    <t xml:space="preserve">Disturbance sources include: "aircraft" Or "human" Or "motor boat" Or "non-motor boat" Or "vehicle". </t>
  </si>
  <si>
    <t>NOTE: Be sure to add in PRH surveys (can just manually count)</t>
  </si>
  <si>
    <t>"aircraft" Or "human" Or "motor boat" Or "non-motor boat" Or "vehicle"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</si>
</sst>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0" borderId="0" xfId="1" applyFont="1" applyAlignment="1">
      <alignment wrapText="1"/>
    </xf>
    <xf numFmtId="0" fontId="1" fillId="0" borderId="0" xfId="1" applyFont="1" applyAlignment="1">
      <alignment horizontal="right" wrapText="1"/>
    </xf>
    <xf numFmtId="0" fontId="1" fillId="2" borderId="3" xfId="1" applyFont="1" applyFill="1" applyBorder="1" applyAlignment="1">
      <alignment horizontal="center"/>
    </xf>
    <xf numFmtId="0" fontId="1" fillId="0" borderId="2" xfId="2" applyFont="1" applyBorder="1" applyAlignment="1">
      <alignment horizontal="right" wrapText="1"/>
    </xf>
    <xf numFmtId="0" fontId="1" fillId="0" borderId="2" xfId="2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4" xfId="2" applyFont="1" applyBorder="1" applyAlignment="1">
      <alignment horizontal="right" wrapText="1"/>
    </xf>
    <xf numFmtId="0" fontId="1" fillId="0" borderId="4" xfId="2" applyFont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1" fillId="0" borderId="4" xfId="2" applyFont="1" applyFill="1" applyBorder="1" applyAlignment="1">
      <alignment horizontal="right" wrapText="1"/>
    </xf>
    <xf numFmtId="0" fontId="1" fillId="0" borderId="4" xfId="2" applyFont="1" applyFill="1" applyBorder="1" applyAlignment="1">
      <alignment wrapText="1"/>
    </xf>
  </cellXfs>
  <cellStyles count="3">
    <cellStyle name="Normal" xfId="0" builtinId="0"/>
    <cellStyle name="Normal_HumanDistRate" xfId="2" xr:uid="{4CFA3A70-1B85-48BC-8E0A-5144AECAACD7}"/>
    <cellStyle name="Normal_Sheet1" xfId="1" xr:uid="{CC674BEC-C04F-42CA-92D1-FFC42F43C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E1C0-0B4F-4610-A1DC-576557C51C2F}">
  <dimension ref="A1:E230"/>
  <sheetViews>
    <sheetView tabSelected="1" workbookViewId="0">
      <selection activeCell="K225" sqref="K225"/>
    </sheetView>
  </sheetViews>
  <sheetFormatPr defaultRowHeight="15" x14ac:dyDescent="0.25"/>
  <cols>
    <col min="3" max="3" width="27.140625" customWidth="1"/>
    <col min="4" max="4" width="17.5703125" customWidth="1"/>
    <col min="5" max="5" width="2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12</v>
      </c>
    </row>
    <row r="2" spans="1:5" x14ac:dyDescent="0.25">
      <c r="A2" s="2">
        <v>1996</v>
      </c>
      <c r="B2" s="3" t="s">
        <v>4</v>
      </c>
      <c r="C2" s="2">
        <v>2</v>
      </c>
      <c r="D2" s="2">
        <v>6</v>
      </c>
      <c r="E2">
        <f>C2/D2</f>
        <v>0.33333333333333331</v>
      </c>
    </row>
    <row r="3" spans="1:5" x14ac:dyDescent="0.25">
      <c r="A3" s="2">
        <v>1996</v>
      </c>
      <c r="B3" s="3" t="s">
        <v>5</v>
      </c>
      <c r="C3" s="2">
        <v>19</v>
      </c>
      <c r="D3" s="2">
        <v>21</v>
      </c>
      <c r="E3">
        <f t="shared" ref="E3:E66" si="0">C3/D3</f>
        <v>0.90476190476190477</v>
      </c>
    </row>
    <row r="4" spans="1:5" x14ac:dyDescent="0.25">
      <c r="A4" s="2">
        <v>1996</v>
      </c>
      <c r="B4" s="3" t="s">
        <v>6</v>
      </c>
      <c r="C4" s="2">
        <v>2</v>
      </c>
      <c r="D4" s="2">
        <v>9</v>
      </c>
      <c r="E4">
        <f t="shared" si="0"/>
        <v>0.22222222222222221</v>
      </c>
    </row>
    <row r="5" spans="1:5" x14ac:dyDescent="0.25">
      <c r="A5" s="2">
        <v>1997</v>
      </c>
      <c r="B5" s="3" t="s">
        <v>4</v>
      </c>
      <c r="C5" s="2">
        <v>0</v>
      </c>
      <c r="D5" s="2">
        <v>2</v>
      </c>
      <c r="E5">
        <f t="shared" si="0"/>
        <v>0</v>
      </c>
    </row>
    <row r="6" spans="1:5" x14ac:dyDescent="0.25">
      <c r="A6" s="2">
        <v>1997</v>
      </c>
      <c r="B6" s="3" t="s">
        <v>5</v>
      </c>
      <c r="C6" s="2">
        <v>19</v>
      </c>
      <c r="D6" s="2">
        <v>23</v>
      </c>
      <c r="E6">
        <f t="shared" si="0"/>
        <v>0.82608695652173914</v>
      </c>
    </row>
    <row r="7" spans="1:5" x14ac:dyDescent="0.25">
      <c r="A7" s="2">
        <v>1997</v>
      </c>
      <c r="B7" s="4" t="s">
        <v>6</v>
      </c>
      <c r="C7" s="5">
        <v>2</v>
      </c>
      <c r="D7" s="2">
        <v>16</v>
      </c>
      <c r="E7">
        <f t="shared" si="0"/>
        <v>0.125</v>
      </c>
    </row>
    <row r="8" spans="1:5" x14ac:dyDescent="0.25">
      <c r="A8" s="2">
        <v>1997</v>
      </c>
      <c r="B8" s="4" t="s">
        <v>9</v>
      </c>
      <c r="C8" s="5">
        <v>0</v>
      </c>
      <c r="D8" s="2">
        <v>8</v>
      </c>
      <c r="E8">
        <f t="shared" si="0"/>
        <v>0</v>
      </c>
    </row>
    <row r="9" spans="1:5" x14ac:dyDescent="0.25">
      <c r="A9" s="2">
        <v>1997</v>
      </c>
      <c r="B9" s="4" t="s">
        <v>10</v>
      </c>
      <c r="C9" s="5">
        <v>0</v>
      </c>
      <c r="D9" s="2">
        <v>7</v>
      </c>
      <c r="E9">
        <f t="shared" si="0"/>
        <v>0</v>
      </c>
    </row>
    <row r="10" spans="1:5" x14ac:dyDescent="0.25">
      <c r="A10" s="2">
        <v>1997</v>
      </c>
      <c r="B10" s="3" t="s">
        <v>11</v>
      </c>
      <c r="C10" s="2">
        <v>2</v>
      </c>
      <c r="D10" s="2">
        <v>7</v>
      </c>
      <c r="E10">
        <f t="shared" si="0"/>
        <v>0.2857142857142857</v>
      </c>
    </row>
    <row r="11" spans="1:5" x14ac:dyDescent="0.25">
      <c r="A11" s="2">
        <v>1998</v>
      </c>
      <c r="B11" s="3" t="s">
        <v>4</v>
      </c>
      <c r="C11" s="2">
        <v>4</v>
      </c>
      <c r="D11" s="2">
        <v>13</v>
      </c>
      <c r="E11">
        <f t="shared" si="0"/>
        <v>0.30769230769230771</v>
      </c>
    </row>
    <row r="12" spans="1:5" x14ac:dyDescent="0.25">
      <c r="A12" s="2">
        <v>1998</v>
      </c>
      <c r="B12" s="3" t="s">
        <v>5</v>
      </c>
      <c r="C12" s="2">
        <v>24</v>
      </c>
      <c r="D12" s="2">
        <v>30</v>
      </c>
      <c r="E12">
        <f t="shared" si="0"/>
        <v>0.8</v>
      </c>
    </row>
    <row r="13" spans="1:5" x14ac:dyDescent="0.25">
      <c r="A13" s="2">
        <v>1998</v>
      </c>
      <c r="B13" s="4" t="s">
        <v>6</v>
      </c>
      <c r="C13" s="2">
        <v>1</v>
      </c>
      <c r="D13" s="2">
        <v>32</v>
      </c>
      <c r="E13">
        <f t="shared" si="0"/>
        <v>3.125E-2</v>
      </c>
    </row>
    <row r="14" spans="1:5" x14ac:dyDescent="0.25">
      <c r="A14" s="2">
        <v>1998</v>
      </c>
      <c r="B14" s="4" t="s">
        <v>9</v>
      </c>
      <c r="C14" s="2">
        <v>0</v>
      </c>
      <c r="D14" s="2">
        <v>15</v>
      </c>
      <c r="E14">
        <f t="shared" si="0"/>
        <v>0</v>
      </c>
    </row>
    <row r="15" spans="1:5" x14ac:dyDescent="0.25">
      <c r="A15" s="2">
        <v>1998</v>
      </c>
      <c r="B15" s="4" t="s">
        <v>10</v>
      </c>
      <c r="C15" s="2">
        <v>14</v>
      </c>
      <c r="D15" s="2">
        <v>27</v>
      </c>
      <c r="E15">
        <f t="shared" si="0"/>
        <v>0.51851851851851849</v>
      </c>
    </row>
    <row r="16" spans="1:5" x14ac:dyDescent="0.25">
      <c r="A16" s="2">
        <v>1998</v>
      </c>
      <c r="B16" s="3" t="s">
        <v>11</v>
      </c>
      <c r="C16" s="2">
        <v>6</v>
      </c>
      <c r="D16" s="2">
        <v>30</v>
      </c>
      <c r="E16">
        <f t="shared" si="0"/>
        <v>0.2</v>
      </c>
    </row>
    <row r="17" spans="1:5" x14ac:dyDescent="0.25">
      <c r="A17" s="2">
        <v>1999</v>
      </c>
      <c r="B17" s="3" t="s">
        <v>4</v>
      </c>
      <c r="C17" s="2">
        <v>6</v>
      </c>
      <c r="D17" s="2">
        <v>20</v>
      </c>
      <c r="E17">
        <f t="shared" si="0"/>
        <v>0.3</v>
      </c>
    </row>
    <row r="18" spans="1:5" x14ac:dyDescent="0.25">
      <c r="A18" s="2">
        <v>1999</v>
      </c>
      <c r="B18" s="3" t="s">
        <v>5</v>
      </c>
      <c r="C18" s="2">
        <v>28</v>
      </c>
      <c r="D18" s="2">
        <v>43</v>
      </c>
      <c r="E18">
        <f t="shared" si="0"/>
        <v>0.65116279069767447</v>
      </c>
    </row>
    <row r="19" spans="1:5" x14ac:dyDescent="0.25">
      <c r="A19" s="2">
        <v>1999</v>
      </c>
      <c r="B19" s="3" t="s">
        <v>6</v>
      </c>
      <c r="C19" s="2">
        <v>9</v>
      </c>
      <c r="D19" s="2">
        <v>34</v>
      </c>
      <c r="E19">
        <f t="shared" si="0"/>
        <v>0.26470588235294118</v>
      </c>
    </row>
    <row r="20" spans="1:5" x14ac:dyDescent="0.25">
      <c r="A20" s="2">
        <v>1999</v>
      </c>
      <c r="B20" s="3" t="s">
        <v>7</v>
      </c>
      <c r="C20" s="2">
        <v>0</v>
      </c>
      <c r="D20" s="2">
        <v>8</v>
      </c>
      <c r="E20">
        <f t="shared" si="0"/>
        <v>0</v>
      </c>
    </row>
    <row r="21" spans="1:5" x14ac:dyDescent="0.25">
      <c r="A21" s="2">
        <v>1999</v>
      </c>
      <c r="B21" s="3" t="s">
        <v>9</v>
      </c>
      <c r="C21" s="2">
        <v>1</v>
      </c>
      <c r="D21" s="2">
        <v>22</v>
      </c>
      <c r="E21">
        <f t="shared" si="0"/>
        <v>4.5454545454545456E-2</v>
      </c>
    </row>
    <row r="22" spans="1:5" x14ac:dyDescent="0.25">
      <c r="A22" s="2">
        <v>1999</v>
      </c>
      <c r="B22" s="3" t="s">
        <v>10</v>
      </c>
      <c r="C22" s="2">
        <v>5</v>
      </c>
      <c r="D22" s="2">
        <v>32</v>
      </c>
      <c r="E22">
        <f t="shared" si="0"/>
        <v>0.15625</v>
      </c>
    </row>
    <row r="23" spans="1:5" x14ac:dyDescent="0.25">
      <c r="A23" s="2">
        <v>1999</v>
      </c>
      <c r="B23" s="3" t="s">
        <v>11</v>
      </c>
      <c r="C23" s="2">
        <v>1</v>
      </c>
      <c r="D23" s="2">
        <v>31</v>
      </c>
      <c r="E23">
        <f t="shared" si="0"/>
        <v>3.2258064516129031E-2</v>
      </c>
    </row>
    <row r="24" spans="1:5" x14ac:dyDescent="0.25">
      <c r="A24" s="2">
        <v>2000</v>
      </c>
      <c r="B24" s="3" t="s">
        <v>4</v>
      </c>
      <c r="C24" s="2">
        <v>5</v>
      </c>
      <c r="D24" s="2">
        <v>14</v>
      </c>
      <c r="E24">
        <f t="shared" si="0"/>
        <v>0.35714285714285715</v>
      </c>
    </row>
    <row r="25" spans="1:5" x14ac:dyDescent="0.25">
      <c r="A25" s="2">
        <v>2000</v>
      </c>
      <c r="B25" s="3" t="s">
        <v>5</v>
      </c>
      <c r="C25" s="2">
        <v>23</v>
      </c>
      <c r="D25" s="2">
        <v>44</v>
      </c>
      <c r="E25">
        <f t="shared" si="0"/>
        <v>0.52272727272727271</v>
      </c>
    </row>
    <row r="26" spans="1:5" x14ac:dyDescent="0.25">
      <c r="A26" s="2">
        <v>2000</v>
      </c>
      <c r="B26" s="3" t="s">
        <v>6</v>
      </c>
      <c r="C26" s="2">
        <v>7</v>
      </c>
      <c r="D26" s="2">
        <v>51</v>
      </c>
      <c r="E26">
        <f t="shared" si="0"/>
        <v>0.13725490196078433</v>
      </c>
    </row>
    <row r="27" spans="1:5" x14ac:dyDescent="0.25">
      <c r="A27" s="2">
        <v>2000</v>
      </c>
      <c r="B27" s="3" t="s">
        <v>7</v>
      </c>
      <c r="C27" s="2">
        <v>0</v>
      </c>
      <c r="D27" s="2">
        <v>11</v>
      </c>
      <c r="E27">
        <f t="shared" si="0"/>
        <v>0</v>
      </c>
    </row>
    <row r="28" spans="1:5" x14ac:dyDescent="0.25">
      <c r="A28" s="2">
        <v>2000</v>
      </c>
      <c r="B28" s="3" t="s">
        <v>8</v>
      </c>
      <c r="C28" s="2">
        <v>8</v>
      </c>
      <c r="D28" s="2">
        <v>8</v>
      </c>
      <c r="E28">
        <f t="shared" si="0"/>
        <v>1</v>
      </c>
    </row>
    <row r="29" spans="1:5" x14ac:dyDescent="0.25">
      <c r="A29" s="2">
        <v>2000</v>
      </c>
      <c r="B29" s="3" t="s">
        <v>9</v>
      </c>
      <c r="C29" s="2">
        <v>0</v>
      </c>
      <c r="D29" s="2">
        <v>15</v>
      </c>
      <c r="E29">
        <f t="shared" si="0"/>
        <v>0</v>
      </c>
    </row>
    <row r="30" spans="1:5" x14ac:dyDescent="0.25">
      <c r="A30" s="2">
        <v>2000</v>
      </c>
      <c r="B30" s="3" t="s">
        <v>10</v>
      </c>
      <c r="C30" s="2">
        <v>11</v>
      </c>
      <c r="D30" s="2">
        <v>25</v>
      </c>
      <c r="E30">
        <f t="shared" si="0"/>
        <v>0.44</v>
      </c>
    </row>
    <row r="31" spans="1:5" x14ac:dyDescent="0.25">
      <c r="A31" s="2">
        <v>2000</v>
      </c>
      <c r="B31" s="3" t="s">
        <v>11</v>
      </c>
      <c r="C31" s="2">
        <v>6</v>
      </c>
      <c r="D31" s="2">
        <v>26</v>
      </c>
      <c r="E31">
        <f t="shared" si="0"/>
        <v>0.23076923076923078</v>
      </c>
    </row>
    <row r="32" spans="1:5" x14ac:dyDescent="0.25">
      <c r="A32" s="2">
        <v>2001</v>
      </c>
      <c r="B32" s="3" t="s">
        <v>4</v>
      </c>
      <c r="C32" s="2">
        <v>15</v>
      </c>
      <c r="D32" s="2">
        <v>39</v>
      </c>
      <c r="E32">
        <f t="shared" si="0"/>
        <v>0.38461538461538464</v>
      </c>
    </row>
    <row r="33" spans="1:5" x14ac:dyDescent="0.25">
      <c r="A33" s="2">
        <v>2001</v>
      </c>
      <c r="B33" s="3" t="s">
        <v>5</v>
      </c>
      <c r="C33" s="2">
        <v>16</v>
      </c>
      <c r="D33" s="2">
        <v>43</v>
      </c>
      <c r="E33">
        <f t="shared" si="0"/>
        <v>0.37209302325581395</v>
      </c>
    </row>
    <row r="34" spans="1:5" x14ac:dyDescent="0.25">
      <c r="A34" s="2">
        <v>2001</v>
      </c>
      <c r="B34" s="3" t="s">
        <v>6</v>
      </c>
      <c r="C34" s="2">
        <v>3</v>
      </c>
      <c r="D34" s="2">
        <v>39</v>
      </c>
      <c r="E34">
        <f t="shared" si="0"/>
        <v>7.6923076923076927E-2</v>
      </c>
    </row>
    <row r="35" spans="1:5" x14ac:dyDescent="0.25">
      <c r="A35" s="2">
        <v>2001</v>
      </c>
      <c r="B35" s="3" t="s">
        <v>7</v>
      </c>
      <c r="C35" s="2">
        <v>3</v>
      </c>
      <c r="D35" s="2">
        <v>32</v>
      </c>
      <c r="E35">
        <f t="shared" si="0"/>
        <v>9.375E-2</v>
      </c>
    </row>
    <row r="36" spans="1:5" x14ac:dyDescent="0.25">
      <c r="A36" s="2">
        <v>2001</v>
      </c>
      <c r="B36" s="3" t="s">
        <v>8</v>
      </c>
      <c r="C36" s="2">
        <v>20</v>
      </c>
      <c r="D36" s="2">
        <v>34</v>
      </c>
      <c r="E36">
        <f t="shared" si="0"/>
        <v>0.58823529411764708</v>
      </c>
    </row>
    <row r="37" spans="1:5" x14ac:dyDescent="0.25">
      <c r="A37" s="2">
        <v>2001</v>
      </c>
      <c r="B37" s="3" t="s">
        <v>9</v>
      </c>
      <c r="C37" s="2">
        <v>0</v>
      </c>
      <c r="D37" s="2">
        <v>14</v>
      </c>
      <c r="E37">
        <f t="shared" si="0"/>
        <v>0</v>
      </c>
    </row>
    <row r="38" spans="1:5" x14ac:dyDescent="0.25">
      <c r="A38" s="2">
        <v>2001</v>
      </c>
      <c r="B38" s="3" t="s">
        <v>10</v>
      </c>
      <c r="C38" s="2">
        <v>15</v>
      </c>
      <c r="D38" s="2">
        <v>34</v>
      </c>
      <c r="E38">
        <f t="shared" si="0"/>
        <v>0.44117647058823528</v>
      </c>
    </row>
    <row r="39" spans="1:5" x14ac:dyDescent="0.25">
      <c r="A39" s="2">
        <v>2001</v>
      </c>
      <c r="B39" s="3" t="s">
        <v>11</v>
      </c>
      <c r="C39" s="2">
        <v>5</v>
      </c>
      <c r="D39" s="2">
        <v>32</v>
      </c>
      <c r="E39">
        <f t="shared" si="0"/>
        <v>0.15625</v>
      </c>
    </row>
    <row r="40" spans="1:5" x14ac:dyDescent="0.25">
      <c r="A40" s="2">
        <v>2002</v>
      </c>
      <c r="B40" s="3" t="s">
        <v>4</v>
      </c>
      <c r="C40" s="2">
        <v>29</v>
      </c>
      <c r="D40" s="2">
        <v>40</v>
      </c>
      <c r="E40">
        <f t="shared" si="0"/>
        <v>0.72499999999999998</v>
      </c>
    </row>
    <row r="41" spans="1:5" x14ac:dyDescent="0.25">
      <c r="A41" s="2">
        <v>2002</v>
      </c>
      <c r="B41" s="3" t="s">
        <v>5</v>
      </c>
      <c r="C41" s="2">
        <v>28</v>
      </c>
      <c r="D41" s="2">
        <v>39</v>
      </c>
      <c r="E41">
        <f t="shared" si="0"/>
        <v>0.71794871794871795</v>
      </c>
    </row>
    <row r="42" spans="1:5" x14ac:dyDescent="0.25">
      <c r="A42" s="2">
        <v>2002</v>
      </c>
      <c r="B42" s="3" t="s">
        <v>6</v>
      </c>
      <c r="C42" s="2">
        <v>2</v>
      </c>
      <c r="D42" s="2">
        <v>39</v>
      </c>
      <c r="E42">
        <f t="shared" si="0"/>
        <v>5.128205128205128E-2</v>
      </c>
    </row>
    <row r="43" spans="1:5" x14ac:dyDescent="0.25">
      <c r="A43" s="2">
        <v>2002</v>
      </c>
      <c r="B43" s="3" t="s">
        <v>7</v>
      </c>
      <c r="C43" s="2">
        <v>0</v>
      </c>
      <c r="D43" s="2">
        <v>39</v>
      </c>
      <c r="E43">
        <f t="shared" si="0"/>
        <v>0</v>
      </c>
    </row>
    <row r="44" spans="1:5" x14ac:dyDescent="0.25">
      <c r="A44" s="2">
        <v>2002</v>
      </c>
      <c r="B44" s="3" t="s">
        <v>8</v>
      </c>
      <c r="C44" s="2">
        <v>18</v>
      </c>
      <c r="D44" s="2">
        <v>16</v>
      </c>
      <c r="E44">
        <f t="shared" si="0"/>
        <v>1.125</v>
      </c>
    </row>
    <row r="45" spans="1:5" x14ac:dyDescent="0.25">
      <c r="A45" s="2">
        <v>2002</v>
      </c>
      <c r="B45" s="3" t="s">
        <v>9</v>
      </c>
      <c r="C45" s="2">
        <v>0</v>
      </c>
      <c r="D45" s="2">
        <v>9</v>
      </c>
      <c r="E45">
        <f t="shared" si="0"/>
        <v>0</v>
      </c>
    </row>
    <row r="46" spans="1:5" x14ac:dyDescent="0.25">
      <c r="A46" s="2">
        <v>2002</v>
      </c>
      <c r="B46" s="3" t="s">
        <v>10</v>
      </c>
      <c r="C46" s="2">
        <v>16</v>
      </c>
      <c r="D46" s="2">
        <v>32</v>
      </c>
      <c r="E46">
        <f t="shared" si="0"/>
        <v>0.5</v>
      </c>
    </row>
    <row r="47" spans="1:5" x14ac:dyDescent="0.25">
      <c r="A47" s="2">
        <v>2002</v>
      </c>
      <c r="B47" s="3" t="s">
        <v>11</v>
      </c>
      <c r="C47" s="2">
        <v>7</v>
      </c>
      <c r="D47" s="2">
        <v>32</v>
      </c>
      <c r="E47">
        <f t="shared" si="0"/>
        <v>0.21875</v>
      </c>
    </row>
    <row r="48" spans="1:5" x14ac:dyDescent="0.25">
      <c r="A48" s="2">
        <v>2003</v>
      </c>
      <c r="B48" s="3" t="s">
        <v>4</v>
      </c>
      <c r="C48" s="2">
        <v>25</v>
      </c>
      <c r="D48" s="2">
        <v>42</v>
      </c>
      <c r="E48">
        <f t="shared" si="0"/>
        <v>0.59523809523809523</v>
      </c>
    </row>
    <row r="49" spans="1:5" x14ac:dyDescent="0.25">
      <c r="A49" s="2">
        <v>2003</v>
      </c>
      <c r="B49" s="3" t="s">
        <v>5</v>
      </c>
      <c r="C49" s="2">
        <v>28</v>
      </c>
      <c r="D49" s="2">
        <v>46</v>
      </c>
      <c r="E49">
        <f t="shared" si="0"/>
        <v>0.60869565217391308</v>
      </c>
    </row>
    <row r="50" spans="1:5" x14ac:dyDescent="0.25">
      <c r="A50" s="2">
        <v>2003</v>
      </c>
      <c r="B50" s="3" t="s">
        <v>6</v>
      </c>
      <c r="C50" s="2">
        <v>2</v>
      </c>
      <c r="D50" s="2">
        <v>38</v>
      </c>
      <c r="E50">
        <f t="shared" si="0"/>
        <v>5.2631578947368418E-2</v>
      </c>
    </row>
    <row r="51" spans="1:5" x14ac:dyDescent="0.25">
      <c r="A51" s="2">
        <v>2003</v>
      </c>
      <c r="B51" s="3" t="s">
        <v>7</v>
      </c>
      <c r="C51" s="2">
        <v>4</v>
      </c>
      <c r="D51" s="2">
        <v>40</v>
      </c>
      <c r="E51">
        <f t="shared" si="0"/>
        <v>0.1</v>
      </c>
    </row>
    <row r="52" spans="1:5" x14ac:dyDescent="0.25">
      <c r="A52" s="2">
        <v>2003</v>
      </c>
      <c r="B52" s="3" t="s">
        <v>8</v>
      </c>
      <c r="C52" s="2">
        <v>12</v>
      </c>
      <c r="D52" s="2">
        <v>38</v>
      </c>
      <c r="E52">
        <f t="shared" si="0"/>
        <v>0.31578947368421051</v>
      </c>
    </row>
    <row r="53" spans="1:5" x14ac:dyDescent="0.25">
      <c r="A53" s="2">
        <v>2003</v>
      </c>
      <c r="B53" s="3" t="s">
        <v>9</v>
      </c>
      <c r="C53" s="2">
        <v>0</v>
      </c>
      <c r="D53" s="2">
        <v>9</v>
      </c>
      <c r="E53">
        <f t="shared" si="0"/>
        <v>0</v>
      </c>
    </row>
    <row r="54" spans="1:5" x14ac:dyDescent="0.25">
      <c r="A54" s="2">
        <v>2003</v>
      </c>
      <c r="B54" s="3" t="s">
        <v>10</v>
      </c>
      <c r="C54" s="2">
        <v>7</v>
      </c>
      <c r="D54" s="2">
        <v>34</v>
      </c>
      <c r="E54">
        <f t="shared" si="0"/>
        <v>0.20588235294117646</v>
      </c>
    </row>
    <row r="55" spans="1:5" x14ac:dyDescent="0.25">
      <c r="A55" s="2">
        <v>2003</v>
      </c>
      <c r="B55" s="3" t="s">
        <v>11</v>
      </c>
      <c r="C55" s="2">
        <v>6</v>
      </c>
      <c r="D55" s="2">
        <v>35</v>
      </c>
      <c r="E55">
        <f t="shared" si="0"/>
        <v>0.17142857142857143</v>
      </c>
    </row>
    <row r="56" spans="1:5" x14ac:dyDescent="0.25">
      <c r="A56" s="2">
        <v>2004</v>
      </c>
      <c r="B56" s="3" t="s">
        <v>4</v>
      </c>
      <c r="C56" s="2">
        <v>23</v>
      </c>
      <c r="D56" s="2">
        <v>38</v>
      </c>
      <c r="E56">
        <f t="shared" si="0"/>
        <v>0.60526315789473684</v>
      </c>
    </row>
    <row r="57" spans="1:5" x14ac:dyDescent="0.25">
      <c r="A57" s="2">
        <v>2004</v>
      </c>
      <c r="B57" s="3" t="s">
        <v>5</v>
      </c>
      <c r="C57" s="2">
        <v>20</v>
      </c>
      <c r="D57" s="2">
        <v>51</v>
      </c>
      <c r="E57">
        <f t="shared" si="0"/>
        <v>0.39215686274509803</v>
      </c>
    </row>
    <row r="58" spans="1:5" x14ac:dyDescent="0.25">
      <c r="A58" s="2">
        <v>2004</v>
      </c>
      <c r="B58" s="3" t="s">
        <v>6</v>
      </c>
      <c r="C58" s="2">
        <v>0</v>
      </c>
      <c r="D58" s="2">
        <v>34</v>
      </c>
      <c r="E58">
        <f t="shared" si="0"/>
        <v>0</v>
      </c>
    </row>
    <row r="59" spans="1:5" x14ac:dyDescent="0.25">
      <c r="A59" s="2">
        <v>2004</v>
      </c>
      <c r="B59" s="3" t="s">
        <v>7</v>
      </c>
      <c r="C59" s="2">
        <v>0</v>
      </c>
      <c r="D59" s="2">
        <v>33</v>
      </c>
      <c r="E59">
        <f t="shared" si="0"/>
        <v>0</v>
      </c>
    </row>
    <row r="60" spans="1:5" x14ac:dyDescent="0.25">
      <c r="A60" s="2">
        <v>2004</v>
      </c>
      <c r="B60" s="3" t="s">
        <v>8</v>
      </c>
      <c r="C60" s="2">
        <v>8</v>
      </c>
      <c r="D60" s="2">
        <v>18</v>
      </c>
      <c r="E60">
        <f t="shared" si="0"/>
        <v>0.44444444444444442</v>
      </c>
    </row>
    <row r="61" spans="1:5" x14ac:dyDescent="0.25">
      <c r="A61" s="2">
        <v>2004</v>
      </c>
      <c r="B61" s="3" t="s">
        <v>9</v>
      </c>
      <c r="C61" s="2">
        <v>0</v>
      </c>
      <c r="D61" s="2">
        <v>10</v>
      </c>
      <c r="E61">
        <f t="shared" si="0"/>
        <v>0</v>
      </c>
    </row>
    <row r="62" spans="1:5" x14ac:dyDescent="0.25">
      <c r="A62" s="2">
        <v>2004</v>
      </c>
      <c r="B62" s="3" t="s">
        <v>10</v>
      </c>
      <c r="C62" s="2">
        <v>3</v>
      </c>
      <c r="D62" s="2">
        <v>22</v>
      </c>
      <c r="E62">
        <f t="shared" si="0"/>
        <v>0.13636363636363635</v>
      </c>
    </row>
    <row r="63" spans="1:5" x14ac:dyDescent="0.25">
      <c r="A63" s="2">
        <v>2004</v>
      </c>
      <c r="B63" s="3" t="s">
        <v>11</v>
      </c>
      <c r="C63" s="2">
        <v>1</v>
      </c>
      <c r="D63" s="2">
        <v>22</v>
      </c>
      <c r="E63">
        <f t="shared" si="0"/>
        <v>4.5454545454545456E-2</v>
      </c>
    </row>
    <row r="64" spans="1:5" x14ac:dyDescent="0.25">
      <c r="A64" s="2">
        <v>2005</v>
      </c>
      <c r="B64" s="3" t="s">
        <v>4</v>
      </c>
      <c r="C64" s="2">
        <v>16</v>
      </c>
      <c r="D64" s="2">
        <v>45</v>
      </c>
      <c r="E64">
        <f t="shared" si="0"/>
        <v>0.35555555555555557</v>
      </c>
    </row>
    <row r="65" spans="1:5" x14ac:dyDescent="0.25">
      <c r="A65" s="2">
        <v>2005</v>
      </c>
      <c r="B65" s="3" t="s">
        <v>5</v>
      </c>
      <c r="C65" s="2">
        <v>20</v>
      </c>
      <c r="D65" s="2">
        <v>37</v>
      </c>
      <c r="E65">
        <f t="shared" si="0"/>
        <v>0.54054054054054057</v>
      </c>
    </row>
    <row r="66" spans="1:5" x14ac:dyDescent="0.25">
      <c r="A66" s="2">
        <v>2005</v>
      </c>
      <c r="B66" s="3" t="s">
        <v>6</v>
      </c>
      <c r="C66" s="2">
        <v>3</v>
      </c>
      <c r="D66" s="2">
        <v>32</v>
      </c>
      <c r="E66">
        <f t="shared" si="0"/>
        <v>9.375E-2</v>
      </c>
    </row>
    <row r="67" spans="1:5" x14ac:dyDescent="0.25">
      <c r="A67" s="2">
        <v>2005</v>
      </c>
      <c r="B67" s="3" t="s">
        <v>7</v>
      </c>
      <c r="C67" s="2">
        <v>1</v>
      </c>
      <c r="D67" s="2">
        <v>43</v>
      </c>
      <c r="E67">
        <f t="shared" ref="E67:E137" si="1">C67/D67</f>
        <v>2.3255813953488372E-2</v>
      </c>
    </row>
    <row r="68" spans="1:5" x14ac:dyDescent="0.25">
      <c r="A68" s="2">
        <v>2005</v>
      </c>
      <c r="B68" s="3" t="s">
        <v>8</v>
      </c>
      <c r="C68" s="2">
        <v>22</v>
      </c>
      <c r="D68" s="2">
        <v>29</v>
      </c>
      <c r="E68">
        <f t="shared" si="1"/>
        <v>0.75862068965517238</v>
      </c>
    </row>
    <row r="69" spans="1:5" x14ac:dyDescent="0.25">
      <c r="A69" s="2">
        <v>2005</v>
      </c>
      <c r="B69" s="3" t="s">
        <v>9</v>
      </c>
      <c r="C69" s="2">
        <v>0</v>
      </c>
      <c r="D69" s="2">
        <v>8</v>
      </c>
      <c r="E69">
        <f t="shared" si="1"/>
        <v>0</v>
      </c>
    </row>
    <row r="70" spans="1:5" x14ac:dyDescent="0.25">
      <c r="A70" s="2">
        <v>2005</v>
      </c>
      <c r="B70" s="3" t="s">
        <v>10</v>
      </c>
      <c r="C70" s="2">
        <v>13</v>
      </c>
      <c r="D70" s="2">
        <v>28</v>
      </c>
      <c r="E70">
        <f t="shared" si="1"/>
        <v>0.4642857142857143</v>
      </c>
    </row>
    <row r="71" spans="1:5" x14ac:dyDescent="0.25">
      <c r="A71" s="2">
        <v>2005</v>
      </c>
      <c r="B71" s="3" t="s">
        <v>11</v>
      </c>
      <c r="C71" s="2">
        <v>3</v>
      </c>
      <c r="D71" s="2">
        <v>28</v>
      </c>
      <c r="E71">
        <f t="shared" si="1"/>
        <v>0.10714285714285714</v>
      </c>
    </row>
    <row r="72" spans="1:5" x14ac:dyDescent="0.25">
      <c r="A72" s="2">
        <v>2006</v>
      </c>
      <c r="B72" s="3" t="s">
        <v>4</v>
      </c>
      <c r="C72" s="2">
        <v>23</v>
      </c>
      <c r="D72" s="2">
        <v>29</v>
      </c>
      <c r="E72">
        <f t="shared" si="1"/>
        <v>0.7931034482758621</v>
      </c>
    </row>
    <row r="73" spans="1:5" x14ac:dyDescent="0.25">
      <c r="A73" s="2">
        <v>2006</v>
      </c>
      <c r="B73" s="3" t="s">
        <v>5</v>
      </c>
      <c r="C73" s="2">
        <v>14</v>
      </c>
      <c r="D73" s="2">
        <v>33</v>
      </c>
      <c r="E73">
        <f t="shared" si="1"/>
        <v>0.42424242424242425</v>
      </c>
    </row>
    <row r="74" spans="1:5" x14ac:dyDescent="0.25">
      <c r="A74" s="2">
        <v>2006</v>
      </c>
      <c r="B74" s="3" t="s">
        <v>6</v>
      </c>
      <c r="C74" s="2">
        <v>5</v>
      </c>
      <c r="D74" s="2">
        <v>31</v>
      </c>
      <c r="E74">
        <f t="shared" si="1"/>
        <v>0.16129032258064516</v>
      </c>
    </row>
    <row r="75" spans="1:5" x14ac:dyDescent="0.25">
      <c r="A75" s="2">
        <v>2006</v>
      </c>
      <c r="B75" s="3" t="s">
        <v>7</v>
      </c>
      <c r="C75" s="2">
        <v>1</v>
      </c>
      <c r="D75" s="2">
        <v>25</v>
      </c>
      <c r="E75">
        <f t="shared" si="1"/>
        <v>0.04</v>
      </c>
    </row>
    <row r="76" spans="1:5" x14ac:dyDescent="0.25">
      <c r="A76" s="2">
        <v>2006</v>
      </c>
      <c r="B76" s="3" t="s">
        <v>8</v>
      </c>
      <c r="C76" s="2">
        <v>30</v>
      </c>
      <c r="D76" s="2">
        <v>45</v>
      </c>
      <c r="E76">
        <f t="shared" si="1"/>
        <v>0.66666666666666663</v>
      </c>
    </row>
    <row r="77" spans="1:5" x14ac:dyDescent="0.25">
      <c r="A77" s="2">
        <v>2006</v>
      </c>
      <c r="B77" s="3" t="s">
        <v>9</v>
      </c>
      <c r="C77" s="2">
        <v>0</v>
      </c>
      <c r="D77" s="2">
        <v>17</v>
      </c>
      <c r="E77">
        <f t="shared" si="1"/>
        <v>0</v>
      </c>
    </row>
    <row r="78" spans="1:5" x14ac:dyDescent="0.25">
      <c r="A78" s="2">
        <v>2006</v>
      </c>
      <c r="B78" s="3" t="s">
        <v>10</v>
      </c>
      <c r="C78" s="2">
        <v>22</v>
      </c>
      <c r="D78" s="2">
        <v>22</v>
      </c>
      <c r="E78">
        <f t="shared" si="1"/>
        <v>1</v>
      </c>
    </row>
    <row r="79" spans="1:5" x14ac:dyDescent="0.25">
      <c r="A79" s="2">
        <v>2006</v>
      </c>
      <c r="B79" s="3" t="s">
        <v>11</v>
      </c>
      <c r="C79" s="2">
        <v>6</v>
      </c>
      <c r="D79" s="2">
        <v>21</v>
      </c>
      <c r="E79">
        <f t="shared" si="1"/>
        <v>0.2857142857142857</v>
      </c>
    </row>
    <row r="80" spans="1:5" x14ac:dyDescent="0.25">
      <c r="A80" s="2">
        <v>2007</v>
      </c>
      <c r="B80" s="3" t="s">
        <v>4</v>
      </c>
      <c r="C80" s="2">
        <v>50</v>
      </c>
      <c r="D80" s="2">
        <v>40</v>
      </c>
      <c r="E80">
        <f t="shared" si="1"/>
        <v>1.25</v>
      </c>
    </row>
    <row r="81" spans="1:5" x14ac:dyDescent="0.25">
      <c r="A81" s="2">
        <v>2007</v>
      </c>
      <c r="B81" s="3" t="s">
        <v>5</v>
      </c>
      <c r="C81" s="2">
        <v>41</v>
      </c>
      <c r="D81" s="2">
        <v>60</v>
      </c>
      <c r="E81">
        <f t="shared" si="1"/>
        <v>0.68333333333333335</v>
      </c>
    </row>
    <row r="82" spans="1:5" x14ac:dyDescent="0.25">
      <c r="A82" s="2">
        <v>2007</v>
      </c>
      <c r="B82" s="3" t="s">
        <v>6</v>
      </c>
      <c r="C82" s="2">
        <v>4</v>
      </c>
      <c r="D82" s="2">
        <v>37</v>
      </c>
      <c r="E82">
        <f t="shared" si="1"/>
        <v>0.10810810810810811</v>
      </c>
    </row>
    <row r="83" spans="1:5" x14ac:dyDescent="0.25">
      <c r="A83" s="2">
        <v>2007</v>
      </c>
      <c r="B83" s="3" t="s">
        <v>7</v>
      </c>
      <c r="C83" s="2">
        <v>0</v>
      </c>
      <c r="D83" s="2">
        <v>40</v>
      </c>
      <c r="E83">
        <f t="shared" si="1"/>
        <v>0</v>
      </c>
    </row>
    <row r="84" spans="1:5" x14ac:dyDescent="0.25">
      <c r="A84" s="2">
        <v>2007</v>
      </c>
      <c r="B84" s="3" t="s">
        <v>8</v>
      </c>
      <c r="C84" s="2">
        <v>13</v>
      </c>
      <c r="D84" s="2">
        <v>49</v>
      </c>
      <c r="E84">
        <f t="shared" si="1"/>
        <v>0.26530612244897961</v>
      </c>
    </row>
    <row r="85" spans="1:5" x14ac:dyDescent="0.25">
      <c r="A85" s="2">
        <v>2007</v>
      </c>
      <c r="B85" s="3" t="s">
        <v>9</v>
      </c>
      <c r="C85" s="2">
        <v>0</v>
      </c>
      <c r="D85" s="2">
        <v>1</v>
      </c>
      <c r="E85">
        <f t="shared" si="1"/>
        <v>0</v>
      </c>
    </row>
    <row r="86" spans="1:5" x14ac:dyDescent="0.25">
      <c r="A86" s="2">
        <v>2007</v>
      </c>
      <c r="B86" s="3" t="s">
        <v>10</v>
      </c>
      <c r="C86" s="2">
        <v>40</v>
      </c>
      <c r="D86" s="2">
        <v>36</v>
      </c>
      <c r="E86">
        <f t="shared" si="1"/>
        <v>1.1111111111111112</v>
      </c>
    </row>
    <row r="87" spans="1:5" x14ac:dyDescent="0.25">
      <c r="A87" s="2">
        <v>2007</v>
      </c>
      <c r="B87" s="3" t="s">
        <v>11</v>
      </c>
      <c r="C87" s="2">
        <v>1</v>
      </c>
      <c r="D87" s="2">
        <v>39</v>
      </c>
      <c r="E87">
        <f t="shared" si="1"/>
        <v>2.564102564102564E-2</v>
      </c>
    </row>
    <row r="88" spans="1:5" x14ac:dyDescent="0.25">
      <c r="A88" s="2">
        <v>2008</v>
      </c>
      <c r="B88" s="3" t="s">
        <v>4</v>
      </c>
      <c r="C88" s="2">
        <v>22</v>
      </c>
      <c r="D88" s="2">
        <v>36</v>
      </c>
      <c r="E88">
        <f t="shared" si="1"/>
        <v>0.61111111111111116</v>
      </c>
    </row>
    <row r="89" spans="1:5" x14ac:dyDescent="0.25">
      <c r="A89" s="2">
        <v>2008</v>
      </c>
      <c r="B89" s="3" t="s">
        <v>5</v>
      </c>
      <c r="C89" s="2">
        <v>28</v>
      </c>
      <c r="D89" s="2">
        <v>41</v>
      </c>
      <c r="E89">
        <f t="shared" si="1"/>
        <v>0.68292682926829273</v>
      </c>
    </row>
    <row r="90" spans="1:5" x14ac:dyDescent="0.25">
      <c r="A90" s="2">
        <v>2008</v>
      </c>
      <c r="B90" s="3" t="s">
        <v>6</v>
      </c>
      <c r="C90" s="2">
        <v>3</v>
      </c>
      <c r="D90" s="2">
        <v>39</v>
      </c>
      <c r="E90">
        <f t="shared" si="1"/>
        <v>7.6923076923076927E-2</v>
      </c>
    </row>
    <row r="91" spans="1:5" x14ac:dyDescent="0.25">
      <c r="A91" s="2">
        <v>2008</v>
      </c>
      <c r="B91" s="3" t="s">
        <v>7</v>
      </c>
      <c r="C91" s="2">
        <v>0</v>
      </c>
      <c r="D91" s="2">
        <v>36</v>
      </c>
      <c r="E91">
        <f t="shared" si="1"/>
        <v>0</v>
      </c>
    </row>
    <row r="92" spans="1:5" x14ac:dyDescent="0.25">
      <c r="A92" s="2">
        <v>2008</v>
      </c>
      <c r="B92" s="3" t="s">
        <v>8</v>
      </c>
      <c r="C92" s="2">
        <v>9</v>
      </c>
      <c r="D92" s="2">
        <v>27</v>
      </c>
      <c r="E92">
        <f t="shared" si="1"/>
        <v>0.33333333333333331</v>
      </c>
    </row>
    <row r="93" spans="1:5" x14ac:dyDescent="0.25">
      <c r="A93" s="2">
        <v>2008</v>
      </c>
      <c r="B93" s="3" t="s">
        <v>9</v>
      </c>
      <c r="C93" s="2">
        <v>0</v>
      </c>
      <c r="D93" s="2">
        <v>7</v>
      </c>
      <c r="E93">
        <f t="shared" si="1"/>
        <v>0</v>
      </c>
    </row>
    <row r="94" spans="1:5" x14ac:dyDescent="0.25">
      <c r="A94" s="2">
        <v>2008</v>
      </c>
      <c r="B94" s="3" t="s">
        <v>10</v>
      </c>
      <c r="C94" s="2">
        <v>20</v>
      </c>
      <c r="D94" s="2">
        <v>33</v>
      </c>
      <c r="E94">
        <f t="shared" si="1"/>
        <v>0.60606060606060608</v>
      </c>
    </row>
    <row r="95" spans="1:5" x14ac:dyDescent="0.25">
      <c r="A95" s="2">
        <v>2008</v>
      </c>
      <c r="B95" s="3" t="s">
        <v>11</v>
      </c>
      <c r="C95" s="2">
        <v>1</v>
      </c>
      <c r="D95" s="2">
        <v>29</v>
      </c>
      <c r="E95">
        <f t="shared" si="1"/>
        <v>3.4482758620689655E-2</v>
      </c>
    </row>
    <row r="96" spans="1:5" x14ac:dyDescent="0.25">
      <c r="A96" s="2">
        <v>2009</v>
      </c>
      <c r="B96" s="3" t="s">
        <v>4</v>
      </c>
      <c r="C96" s="2">
        <v>10</v>
      </c>
      <c r="D96" s="2">
        <v>40</v>
      </c>
      <c r="E96">
        <f t="shared" si="1"/>
        <v>0.25</v>
      </c>
    </row>
    <row r="97" spans="1:5" x14ac:dyDescent="0.25">
      <c r="A97" s="2">
        <v>2009</v>
      </c>
      <c r="B97" s="3" t="s">
        <v>5</v>
      </c>
      <c r="C97" s="2">
        <v>16</v>
      </c>
      <c r="D97" s="2">
        <v>41</v>
      </c>
      <c r="E97">
        <f t="shared" si="1"/>
        <v>0.3902439024390244</v>
      </c>
    </row>
    <row r="98" spans="1:5" x14ac:dyDescent="0.25">
      <c r="A98" s="2">
        <v>2009</v>
      </c>
      <c r="B98" s="3" t="s">
        <v>6</v>
      </c>
      <c r="C98" s="2">
        <v>0</v>
      </c>
      <c r="D98" s="2">
        <v>37</v>
      </c>
      <c r="E98">
        <f t="shared" si="1"/>
        <v>0</v>
      </c>
    </row>
    <row r="99" spans="1:5" x14ac:dyDescent="0.25">
      <c r="A99" s="2">
        <v>2009</v>
      </c>
      <c r="B99" s="3" t="s">
        <v>7</v>
      </c>
      <c r="C99" s="2">
        <v>0</v>
      </c>
      <c r="D99" s="2">
        <v>39</v>
      </c>
      <c r="E99">
        <f t="shared" si="1"/>
        <v>0</v>
      </c>
    </row>
    <row r="100" spans="1:5" x14ac:dyDescent="0.25">
      <c r="A100" s="2">
        <v>2009</v>
      </c>
      <c r="B100" s="3" t="s">
        <v>8</v>
      </c>
      <c r="C100" s="2">
        <v>8</v>
      </c>
      <c r="D100" s="2">
        <v>37</v>
      </c>
      <c r="E100">
        <f t="shared" si="1"/>
        <v>0.21621621621621623</v>
      </c>
    </row>
    <row r="101" spans="1:5" x14ac:dyDescent="0.25">
      <c r="A101" s="2">
        <v>2009</v>
      </c>
      <c r="B101" s="3" t="s">
        <v>9</v>
      </c>
      <c r="C101" s="2">
        <v>0</v>
      </c>
      <c r="D101" s="2">
        <v>9</v>
      </c>
      <c r="E101">
        <f t="shared" si="1"/>
        <v>0</v>
      </c>
    </row>
    <row r="102" spans="1:5" x14ac:dyDescent="0.25">
      <c r="A102" s="2">
        <v>2009</v>
      </c>
      <c r="B102" s="3" t="s">
        <v>10</v>
      </c>
      <c r="C102" s="2">
        <v>22</v>
      </c>
      <c r="D102" s="2">
        <v>30</v>
      </c>
      <c r="E102">
        <f t="shared" si="1"/>
        <v>0.73333333333333328</v>
      </c>
    </row>
    <row r="103" spans="1:5" x14ac:dyDescent="0.25">
      <c r="A103" s="2">
        <v>2009</v>
      </c>
      <c r="B103" s="3" t="s">
        <v>11</v>
      </c>
      <c r="C103" s="2">
        <v>4</v>
      </c>
      <c r="D103" s="2">
        <v>27</v>
      </c>
      <c r="E103">
        <f t="shared" si="1"/>
        <v>0.14814814814814814</v>
      </c>
    </row>
    <row r="104" spans="1:5" x14ac:dyDescent="0.25">
      <c r="A104" s="2">
        <v>2010</v>
      </c>
      <c r="B104" s="3" t="s">
        <v>4</v>
      </c>
      <c r="C104" s="2">
        <v>11</v>
      </c>
      <c r="D104" s="2">
        <v>36</v>
      </c>
      <c r="E104">
        <f t="shared" si="1"/>
        <v>0.30555555555555558</v>
      </c>
    </row>
    <row r="105" spans="1:5" x14ac:dyDescent="0.25">
      <c r="A105" s="2">
        <v>2010</v>
      </c>
      <c r="B105" s="3" t="s">
        <v>5</v>
      </c>
      <c r="C105" s="2">
        <v>21</v>
      </c>
      <c r="D105" s="2">
        <v>39</v>
      </c>
      <c r="E105">
        <f t="shared" si="1"/>
        <v>0.53846153846153844</v>
      </c>
    </row>
    <row r="106" spans="1:5" x14ac:dyDescent="0.25">
      <c r="A106" s="2">
        <v>2010</v>
      </c>
      <c r="B106" s="3" t="s">
        <v>6</v>
      </c>
      <c r="C106" s="2">
        <v>2</v>
      </c>
      <c r="D106" s="2">
        <v>27</v>
      </c>
      <c r="E106">
        <f t="shared" si="1"/>
        <v>7.407407407407407E-2</v>
      </c>
    </row>
    <row r="107" spans="1:5" x14ac:dyDescent="0.25">
      <c r="A107" s="2">
        <v>2010</v>
      </c>
      <c r="B107" s="3" t="s">
        <v>7</v>
      </c>
      <c r="C107" s="2">
        <v>0</v>
      </c>
      <c r="D107" s="2">
        <v>36</v>
      </c>
      <c r="E107">
        <f t="shared" si="1"/>
        <v>0</v>
      </c>
    </row>
    <row r="108" spans="1:5" x14ac:dyDescent="0.25">
      <c r="A108" s="2">
        <v>2010</v>
      </c>
      <c r="B108" s="3" t="s">
        <v>8</v>
      </c>
      <c r="C108" s="2">
        <v>6</v>
      </c>
      <c r="D108" s="2">
        <v>35</v>
      </c>
      <c r="E108">
        <f t="shared" si="1"/>
        <v>0.17142857142857143</v>
      </c>
    </row>
    <row r="109" spans="1:5" x14ac:dyDescent="0.25">
      <c r="A109" s="2">
        <v>2010</v>
      </c>
      <c r="B109" s="3" t="s">
        <v>9</v>
      </c>
      <c r="C109" s="2">
        <v>0</v>
      </c>
      <c r="D109" s="2">
        <v>8</v>
      </c>
      <c r="E109">
        <f t="shared" si="1"/>
        <v>0</v>
      </c>
    </row>
    <row r="110" spans="1:5" x14ac:dyDescent="0.25">
      <c r="A110" s="2">
        <v>2010</v>
      </c>
      <c r="B110" s="3" t="s">
        <v>10</v>
      </c>
      <c r="C110" s="2">
        <v>35</v>
      </c>
      <c r="D110" s="2">
        <v>31</v>
      </c>
      <c r="E110">
        <f t="shared" si="1"/>
        <v>1.1290322580645162</v>
      </c>
    </row>
    <row r="111" spans="1:5" x14ac:dyDescent="0.25">
      <c r="A111" s="2">
        <v>2010</v>
      </c>
      <c r="B111" s="3" t="s">
        <v>11</v>
      </c>
      <c r="C111" s="2">
        <v>1</v>
      </c>
      <c r="D111" s="2">
        <v>28</v>
      </c>
      <c r="E111">
        <f t="shared" si="1"/>
        <v>3.5714285714285712E-2</v>
      </c>
    </row>
    <row r="112" spans="1:5" x14ac:dyDescent="0.25">
      <c r="A112" s="2">
        <v>2011</v>
      </c>
      <c r="B112" s="3" t="s">
        <v>4</v>
      </c>
      <c r="C112" s="2">
        <v>12</v>
      </c>
      <c r="D112" s="2">
        <v>38</v>
      </c>
      <c r="E112">
        <f t="shared" si="1"/>
        <v>0.31578947368421051</v>
      </c>
    </row>
    <row r="113" spans="1:5" x14ac:dyDescent="0.25">
      <c r="A113" s="2">
        <v>2011</v>
      </c>
      <c r="B113" s="3" t="s">
        <v>5</v>
      </c>
      <c r="C113" s="2">
        <v>9</v>
      </c>
      <c r="D113" s="2">
        <v>40</v>
      </c>
      <c r="E113">
        <f t="shared" si="1"/>
        <v>0.22500000000000001</v>
      </c>
    </row>
    <row r="114" spans="1:5" x14ac:dyDescent="0.25">
      <c r="A114" s="2">
        <v>2011</v>
      </c>
      <c r="B114" s="3" t="s">
        <v>6</v>
      </c>
      <c r="C114" s="2">
        <v>0</v>
      </c>
      <c r="D114" s="2">
        <v>31</v>
      </c>
      <c r="E114">
        <f t="shared" si="1"/>
        <v>0</v>
      </c>
    </row>
    <row r="115" spans="1:5" x14ac:dyDescent="0.25">
      <c r="A115" s="2">
        <v>2011</v>
      </c>
      <c r="B115" s="3" t="s">
        <v>7</v>
      </c>
      <c r="C115" s="2">
        <v>2</v>
      </c>
      <c r="D115" s="2">
        <v>38</v>
      </c>
      <c r="E115">
        <f t="shared" si="1"/>
        <v>5.2631578947368418E-2</v>
      </c>
    </row>
    <row r="116" spans="1:5" x14ac:dyDescent="0.25">
      <c r="A116" s="2">
        <v>2011</v>
      </c>
      <c r="B116" s="3" t="s">
        <v>8</v>
      </c>
      <c r="C116" s="2">
        <v>8</v>
      </c>
      <c r="D116" s="2">
        <v>33</v>
      </c>
      <c r="E116">
        <f t="shared" si="1"/>
        <v>0.24242424242424243</v>
      </c>
    </row>
    <row r="117" spans="1:5" x14ac:dyDescent="0.25">
      <c r="A117" s="2">
        <v>2011</v>
      </c>
      <c r="B117" s="3" t="s">
        <v>9</v>
      </c>
      <c r="C117" s="2">
        <v>0</v>
      </c>
      <c r="D117" s="2">
        <v>13</v>
      </c>
      <c r="E117">
        <f t="shared" si="1"/>
        <v>0</v>
      </c>
    </row>
    <row r="118" spans="1:5" x14ac:dyDescent="0.25">
      <c r="A118" s="2">
        <v>2011</v>
      </c>
      <c r="B118" s="3" t="s">
        <v>10</v>
      </c>
      <c r="C118" s="2">
        <v>23</v>
      </c>
      <c r="D118" s="2">
        <v>33</v>
      </c>
      <c r="E118">
        <f t="shared" si="1"/>
        <v>0.69696969696969702</v>
      </c>
    </row>
    <row r="119" spans="1:5" x14ac:dyDescent="0.25">
      <c r="A119" s="2">
        <v>2011</v>
      </c>
      <c r="B119" s="3" t="s">
        <v>11</v>
      </c>
      <c r="C119" s="2">
        <v>4</v>
      </c>
      <c r="D119" s="2">
        <v>30</v>
      </c>
      <c r="E119">
        <f t="shared" si="1"/>
        <v>0.13333333333333333</v>
      </c>
    </row>
    <row r="120" spans="1:5" x14ac:dyDescent="0.25">
      <c r="A120" s="2">
        <v>2012</v>
      </c>
      <c r="B120" s="3" t="s">
        <v>4</v>
      </c>
      <c r="C120" s="2">
        <v>6</v>
      </c>
      <c r="D120" s="2">
        <v>37</v>
      </c>
      <c r="E120">
        <f t="shared" si="1"/>
        <v>0.16216216216216217</v>
      </c>
    </row>
    <row r="121" spans="1:5" x14ac:dyDescent="0.25">
      <c r="A121" s="2">
        <v>2012</v>
      </c>
      <c r="B121" s="3" t="s">
        <v>5</v>
      </c>
      <c r="C121" s="2">
        <v>11</v>
      </c>
      <c r="D121" s="2">
        <v>33</v>
      </c>
      <c r="E121">
        <f t="shared" si="1"/>
        <v>0.33333333333333331</v>
      </c>
    </row>
    <row r="122" spans="1:5" x14ac:dyDescent="0.25">
      <c r="A122" s="2">
        <v>2012</v>
      </c>
      <c r="B122" s="3" t="s">
        <v>6</v>
      </c>
      <c r="C122" s="2">
        <v>6</v>
      </c>
      <c r="D122" s="2">
        <v>30</v>
      </c>
      <c r="E122">
        <f t="shared" si="1"/>
        <v>0.2</v>
      </c>
    </row>
    <row r="123" spans="1:5" x14ac:dyDescent="0.25">
      <c r="A123" s="2">
        <v>2012</v>
      </c>
      <c r="B123" s="3" t="s">
        <v>7</v>
      </c>
      <c r="C123" s="2">
        <v>1</v>
      </c>
      <c r="D123" s="2">
        <v>36</v>
      </c>
      <c r="E123">
        <f t="shared" si="1"/>
        <v>2.7777777777777776E-2</v>
      </c>
    </row>
    <row r="124" spans="1:5" x14ac:dyDescent="0.25">
      <c r="A124" s="2">
        <v>2012</v>
      </c>
      <c r="B124" s="3" t="s">
        <v>8</v>
      </c>
      <c r="C124" s="2">
        <v>6</v>
      </c>
      <c r="D124" s="2">
        <v>30</v>
      </c>
      <c r="E124">
        <f t="shared" si="1"/>
        <v>0.2</v>
      </c>
    </row>
    <row r="125" spans="1:5" x14ac:dyDescent="0.25">
      <c r="A125" s="2">
        <v>2012</v>
      </c>
      <c r="B125" s="3" t="s">
        <v>9</v>
      </c>
      <c r="C125" s="2">
        <v>0</v>
      </c>
      <c r="D125" s="2">
        <v>10</v>
      </c>
      <c r="E125">
        <f t="shared" si="1"/>
        <v>0</v>
      </c>
    </row>
    <row r="126" spans="1:5" x14ac:dyDescent="0.25">
      <c r="A126" s="2">
        <v>2012</v>
      </c>
      <c r="B126" s="3" t="s">
        <v>10</v>
      </c>
      <c r="C126" s="2">
        <v>18</v>
      </c>
      <c r="D126" s="2">
        <v>39</v>
      </c>
      <c r="E126">
        <f t="shared" si="1"/>
        <v>0.46153846153846156</v>
      </c>
    </row>
    <row r="127" spans="1:5" x14ac:dyDescent="0.25">
      <c r="A127" s="2">
        <v>2012</v>
      </c>
      <c r="B127" s="3" t="s">
        <v>11</v>
      </c>
      <c r="C127" s="2">
        <v>5</v>
      </c>
      <c r="D127" s="2">
        <v>29</v>
      </c>
      <c r="E127">
        <f t="shared" si="1"/>
        <v>0.17241379310344829</v>
      </c>
    </row>
    <row r="128" spans="1:5" x14ac:dyDescent="0.25">
      <c r="A128" s="2">
        <v>2013</v>
      </c>
      <c r="B128" s="3" t="s">
        <v>4</v>
      </c>
      <c r="C128" s="2">
        <v>10</v>
      </c>
      <c r="D128" s="2">
        <v>32</v>
      </c>
      <c r="E128">
        <f t="shared" si="1"/>
        <v>0.3125</v>
      </c>
    </row>
    <row r="129" spans="1:5" x14ac:dyDescent="0.25">
      <c r="A129" s="2">
        <v>2013</v>
      </c>
      <c r="B129" s="3" t="s">
        <v>5</v>
      </c>
      <c r="C129" s="2">
        <v>11</v>
      </c>
      <c r="D129" s="2">
        <v>35</v>
      </c>
      <c r="E129">
        <f t="shared" si="1"/>
        <v>0.31428571428571428</v>
      </c>
    </row>
    <row r="130" spans="1:5" x14ac:dyDescent="0.25">
      <c r="A130" s="2">
        <v>2013</v>
      </c>
      <c r="B130" s="3" t="s">
        <v>6</v>
      </c>
      <c r="C130" s="2">
        <v>6</v>
      </c>
      <c r="D130" s="2">
        <v>43</v>
      </c>
      <c r="E130">
        <f t="shared" si="1"/>
        <v>0.13953488372093023</v>
      </c>
    </row>
    <row r="131" spans="1:5" x14ac:dyDescent="0.25">
      <c r="A131" s="2">
        <v>2013</v>
      </c>
      <c r="B131" s="3" t="s">
        <v>7</v>
      </c>
      <c r="C131" s="2">
        <v>0</v>
      </c>
      <c r="D131" s="2">
        <v>31</v>
      </c>
      <c r="E131">
        <f t="shared" si="1"/>
        <v>0</v>
      </c>
    </row>
    <row r="132" spans="1:5" x14ac:dyDescent="0.25">
      <c r="A132" s="2">
        <v>2013</v>
      </c>
      <c r="B132" s="3" t="s">
        <v>8</v>
      </c>
      <c r="C132" s="2">
        <v>5</v>
      </c>
      <c r="D132" s="2">
        <v>37</v>
      </c>
      <c r="E132">
        <f t="shared" si="1"/>
        <v>0.13513513513513514</v>
      </c>
    </row>
    <row r="133" spans="1:5" x14ac:dyDescent="0.25">
      <c r="A133" s="2">
        <v>2013</v>
      </c>
      <c r="B133" s="3" t="s">
        <v>9</v>
      </c>
      <c r="C133" s="2">
        <v>0</v>
      </c>
      <c r="D133" s="2">
        <v>11</v>
      </c>
      <c r="E133">
        <f t="shared" si="1"/>
        <v>0</v>
      </c>
    </row>
    <row r="134" spans="1:5" x14ac:dyDescent="0.25">
      <c r="A134" s="2">
        <v>2013</v>
      </c>
      <c r="B134" s="3" t="s">
        <v>10</v>
      </c>
      <c r="C134" s="2">
        <v>21</v>
      </c>
      <c r="D134" s="2">
        <v>37</v>
      </c>
      <c r="E134">
        <f t="shared" si="1"/>
        <v>0.56756756756756754</v>
      </c>
    </row>
    <row r="135" spans="1:5" x14ac:dyDescent="0.25">
      <c r="A135" s="2">
        <v>2013</v>
      </c>
      <c r="B135" s="3" t="s">
        <v>11</v>
      </c>
      <c r="C135" s="2">
        <v>4</v>
      </c>
      <c r="D135" s="2">
        <v>34</v>
      </c>
      <c r="E135">
        <f t="shared" si="1"/>
        <v>0.11764705882352941</v>
      </c>
    </row>
    <row r="136" spans="1:5" x14ac:dyDescent="0.25">
      <c r="A136" s="2">
        <v>2014</v>
      </c>
      <c r="B136" s="3" t="s">
        <v>4</v>
      </c>
      <c r="C136" s="2">
        <v>12</v>
      </c>
      <c r="D136" s="2">
        <v>34</v>
      </c>
      <c r="E136">
        <f t="shared" si="1"/>
        <v>0.35294117647058826</v>
      </c>
    </row>
    <row r="137" spans="1:5" x14ac:dyDescent="0.25">
      <c r="A137" s="2">
        <v>2014</v>
      </c>
      <c r="B137" s="3" t="s">
        <v>5</v>
      </c>
      <c r="C137" s="2">
        <v>22</v>
      </c>
      <c r="D137" s="2">
        <v>39</v>
      </c>
      <c r="E137">
        <f t="shared" si="1"/>
        <v>0.5641025641025641</v>
      </c>
    </row>
    <row r="138" spans="1:5" x14ac:dyDescent="0.25">
      <c r="A138" s="2">
        <v>2014</v>
      </c>
      <c r="B138" s="3" t="s">
        <v>6</v>
      </c>
      <c r="C138" s="2">
        <v>3</v>
      </c>
      <c r="D138" s="2">
        <v>37</v>
      </c>
      <c r="E138">
        <f t="shared" ref="E138:E210" si="2">C138/D138</f>
        <v>8.1081081081081086E-2</v>
      </c>
    </row>
    <row r="139" spans="1:5" x14ac:dyDescent="0.25">
      <c r="A139" s="2">
        <v>2014</v>
      </c>
      <c r="B139" s="3" t="s">
        <v>7</v>
      </c>
      <c r="C139" s="2">
        <v>0</v>
      </c>
      <c r="D139" s="2">
        <v>33</v>
      </c>
      <c r="E139">
        <f t="shared" si="2"/>
        <v>0</v>
      </c>
    </row>
    <row r="140" spans="1:5" x14ac:dyDescent="0.25">
      <c r="A140" s="2">
        <v>2014</v>
      </c>
      <c r="B140" s="3" t="s">
        <v>8</v>
      </c>
      <c r="C140" s="2">
        <v>6</v>
      </c>
      <c r="D140" s="2">
        <v>35</v>
      </c>
      <c r="E140">
        <f t="shared" si="2"/>
        <v>0.17142857142857143</v>
      </c>
    </row>
    <row r="141" spans="1:5" x14ac:dyDescent="0.25">
      <c r="A141" s="2">
        <v>2014</v>
      </c>
      <c r="B141" s="3" t="s">
        <v>9</v>
      </c>
      <c r="C141" s="2">
        <v>0</v>
      </c>
      <c r="D141" s="2">
        <v>12</v>
      </c>
      <c r="E141">
        <f t="shared" si="2"/>
        <v>0</v>
      </c>
    </row>
    <row r="142" spans="1:5" x14ac:dyDescent="0.25">
      <c r="A142" s="2">
        <v>2014</v>
      </c>
      <c r="B142" s="3" t="s">
        <v>10</v>
      </c>
      <c r="C142" s="2">
        <v>29</v>
      </c>
      <c r="D142" s="2">
        <v>30</v>
      </c>
      <c r="E142">
        <f t="shared" si="2"/>
        <v>0.96666666666666667</v>
      </c>
    </row>
    <row r="143" spans="1:5" x14ac:dyDescent="0.25">
      <c r="A143" s="2">
        <v>2014</v>
      </c>
      <c r="B143" s="3" t="s">
        <v>11</v>
      </c>
      <c r="C143" s="2">
        <v>1</v>
      </c>
      <c r="D143" s="2">
        <v>31</v>
      </c>
      <c r="E143">
        <f t="shared" si="2"/>
        <v>3.2258064516129031E-2</v>
      </c>
    </row>
    <row r="144" spans="1:5" x14ac:dyDescent="0.25">
      <c r="A144" s="2">
        <v>2015</v>
      </c>
      <c r="B144" s="3" t="s">
        <v>4</v>
      </c>
      <c r="C144" s="2">
        <v>6</v>
      </c>
      <c r="D144" s="2">
        <v>36</v>
      </c>
      <c r="E144">
        <f t="shared" si="2"/>
        <v>0.16666666666666666</v>
      </c>
    </row>
    <row r="145" spans="1:5" x14ac:dyDescent="0.25">
      <c r="A145" s="2">
        <v>2015</v>
      </c>
      <c r="B145" s="3" t="s">
        <v>5</v>
      </c>
      <c r="C145" s="2">
        <v>9</v>
      </c>
      <c r="D145" s="2">
        <v>36</v>
      </c>
      <c r="E145">
        <f t="shared" si="2"/>
        <v>0.25</v>
      </c>
    </row>
    <row r="146" spans="1:5" x14ac:dyDescent="0.25">
      <c r="A146" s="2">
        <v>2015</v>
      </c>
      <c r="B146" s="3" t="s">
        <v>6</v>
      </c>
      <c r="C146" s="2">
        <v>5</v>
      </c>
      <c r="D146" s="2">
        <v>32</v>
      </c>
      <c r="E146">
        <f t="shared" si="2"/>
        <v>0.15625</v>
      </c>
    </row>
    <row r="147" spans="1:5" x14ac:dyDescent="0.25">
      <c r="A147" s="2">
        <v>2015</v>
      </c>
      <c r="B147" s="3" t="s">
        <v>7</v>
      </c>
      <c r="C147" s="2">
        <v>1</v>
      </c>
      <c r="D147" s="2">
        <v>35</v>
      </c>
      <c r="E147">
        <f t="shared" si="2"/>
        <v>2.8571428571428571E-2</v>
      </c>
    </row>
    <row r="148" spans="1:5" x14ac:dyDescent="0.25">
      <c r="A148" s="2">
        <v>2015</v>
      </c>
      <c r="B148" s="3" t="s">
        <v>8</v>
      </c>
      <c r="C148" s="2">
        <v>10</v>
      </c>
      <c r="D148" s="2">
        <v>34</v>
      </c>
      <c r="E148">
        <f t="shared" si="2"/>
        <v>0.29411764705882354</v>
      </c>
    </row>
    <row r="149" spans="1:5" x14ac:dyDescent="0.25">
      <c r="A149" s="2">
        <v>2015</v>
      </c>
      <c r="B149" s="3" t="s">
        <v>9</v>
      </c>
      <c r="C149" s="2">
        <v>0</v>
      </c>
      <c r="D149" s="2">
        <v>12</v>
      </c>
      <c r="E149">
        <f t="shared" si="2"/>
        <v>0</v>
      </c>
    </row>
    <row r="150" spans="1:5" x14ac:dyDescent="0.25">
      <c r="A150" s="2">
        <v>2015</v>
      </c>
      <c r="B150" s="3" t="s">
        <v>10</v>
      </c>
      <c r="C150" s="2">
        <v>18</v>
      </c>
      <c r="D150" s="2">
        <v>32</v>
      </c>
      <c r="E150">
        <f t="shared" si="2"/>
        <v>0.5625</v>
      </c>
    </row>
    <row r="151" spans="1:5" x14ac:dyDescent="0.25">
      <c r="A151" s="2">
        <v>2015</v>
      </c>
      <c r="B151" s="3" t="s">
        <v>11</v>
      </c>
      <c r="C151" s="2">
        <v>3</v>
      </c>
      <c r="D151" s="2">
        <v>36</v>
      </c>
      <c r="E151">
        <f t="shared" si="2"/>
        <v>8.3333333333333329E-2</v>
      </c>
    </row>
    <row r="152" spans="1:5" x14ac:dyDescent="0.25">
      <c r="A152" s="2">
        <v>2016</v>
      </c>
      <c r="B152" s="3" t="s">
        <v>4</v>
      </c>
      <c r="C152" s="2">
        <v>9</v>
      </c>
      <c r="D152" s="2">
        <v>39</v>
      </c>
      <c r="E152">
        <f t="shared" si="2"/>
        <v>0.23076923076923078</v>
      </c>
    </row>
    <row r="153" spans="1:5" x14ac:dyDescent="0.25">
      <c r="A153" s="2">
        <v>2016</v>
      </c>
      <c r="B153" s="3" t="s">
        <v>5</v>
      </c>
      <c r="C153" s="2">
        <v>7</v>
      </c>
      <c r="D153" s="2">
        <v>27</v>
      </c>
      <c r="E153">
        <f t="shared" si="2"/>
        <v>0.25925925925925924</v>
      </c>
    </row>
    <row r="154" spans="1:5" x14ac:dyDescent="0.25">
      <c r="A154" s="2">
        <v>2016</v>
      </c>
      <c r="B154" s="3" t="s">
        <v>6</v>
      </c>
      <c r="C154" s="2">
        <v>4</v>
      </c>
      <c r="D154" s="2">
        <v>40</v>
      </c>
      <c r="E154">
        <f t="shared" si="2"/>
        <v>0.1</v>
      </c>
    </row>
    <row r="155" spans="1:5" x14ac:dyDescent="0.25">
      <c r="A155" s="2">
        <v>2016</v>
      </c>
      <c r="B155" s="3" t="s">
        <v>7</v>
      </c>
      <c r="C155" s="2">
        <v>0</v>
      </c>
      <c r="D155" s="2">
        <v>37</v>
      </c>
      <c r="E155">
        <f t="shared" si="2"/>
        <v>0</v>
      </c>
    </row>
    <row r="156" spans="1:5" x14ac:dyDescent="0.25">
      <c r="A156" s="2">
        <v>2016</v>
      </c>
      <c r="B156" s="3" t="s">
        <v>8</v>
      </c>
      <c r="C156" s="2">
        <v>5</v>
      </c>
      <c r="D156" s="2">
        <v>38</v>
      </c>
      <c r="E156">
        <f t="shared" si="2"/>
        <v>0.13157894736842105</v>
      </c>
    </row>
    <row r="157" spans="1:5" x14ac:dyDescent="0.25">
      <c r="A157" s="2">
        <v>2016</v>
      </c>
      <c r="B157" s="3" t="s">
        <v>9</v>
      </c>
      <c r="C157" s="2">
        <v>0</v>
      </c>
      <c r="D157" s="2">
        <v>12</v>
      </c>
      <c r="E157">
        <f t="shared" si="2"/>
        <v>0</v>
      </c>
    </row>
    <row r="158" spans="1:5" x14ac:dyDescent="0.25">
      <c r="A158" s="2">
        <v>2016</v>
      </c>
      <c r="B158" s="3" t="s">
        <v>10</v>
      </c>
      <c r="C158" s="2">
        <v>36</v>
      </c>
      <c r="D158" s="2">
        <v>38</v>
      </c>
      <c r="E158">
        <f t="shared" si="2"/>
        <v>0.94736842105263153</v>
      </c>
    </row>
    <row r="159" spans="1:5" x14ac:dyDescent="0.25">
      <c r="A159" s="2">
        <v>2016</v>
      </c>
      <c r="B159" s="3" t="s">
        <v>11</v>
      </c>
      <c r="C159" s="2">
        <v>0</v>
      </c>
      <c r="D159" s="2">
        <v>34</v>
      </c>
      <c r="E159">
        <f t="shared" si="2"/>
        <v>0</v>
      </c>
    </row>
    <row r="160" spans="1:5" x14ac:dyDescent="0.25">
      <c r="A160" s="2">
        <v>2017</v>
      </c>
      <c r="B160" s="3" t="s">
        <v>4</v>
      </c>
      <c r="C160" s="2">
        <v>4</v>
      </c>
      <c r="D160" s="2">
        <v>33</v>
      </c>
      <c r="E160">
        <f t="shared" si="2"/>
        <v>0.12121212121212122</v>
      </c>
    </row>
    <row r="161" spans="1:5" x14ac:dyDescent="0.25">
      <c r="A161" s="2">
        <v>2017</v>
      </c>
      <c r="B161" s="3" t="s">
        <v>5</v>
      </c>
      <c r="C161" s="2">
        <v>5</v>
      </c>
      <c r="D161" s="2">
        <v>35</v>
      </c>
      <c r="E161">
        <f t="shared" si="2"/>
        <v>0.14285714285714285</v>
      </c>
    </row>
    <row r="162" spans="1:5" x14ac:dyDescent="0.25">
      <c r="A162" s="2">
        <v>2017</v>
      </c>
      <c r="B162" s="3" t="s">
        <v>6</v>
      </c>
      <c r="C162" s="2">
        <v>0</v>
      </c>
      <c r="D162" s="2">
        <v>4</v>
      </c>
      <c r="E162">
        <f t="shared" si="2"/>
        <v>0</v>
      </c>
    </row>
    <row r="163" spans="1:5" x14ac:dyDescent="0.25">
      <c r="A163" s="2">
        <v>2017</v>
      </c>
      <c r="B163" s="3" t="s">
        <v>7</v>
      </c>
      <c r="C163" s="2">
        <v>0</v>
      </c>
      <c r="D163" s="2">
        <v>33</v>
      </c>
      <c r="E163">
        <f t="shared" si="2"/>
        <v>0</v>
      </c>
    </row>
    <row r="164" spans="1:5" x14ac:dyDescent="0.25">
      <c r="A164" s="2">
        <v>2017</v>
      </c>
      <c r="B164" s="3" t="s">
        <v>8</v>
      </c>
      <c r="C164" s="2">
        <v>12</v>
      </c>
      <c r="D164" s="2">
        <v>37</v>
      </c>
      <c r="E164">
        <f t="shared" si="2"/>
        <v>0.32432432432432434</v>
      </c>
    </row>
    <row r="165" spans="1:5" x14ac:dyDescent="0.25">
      <c r="A165" s="2">
        <v>2017</v>
      </c>
      <c r="B165" s="3" t="s">
        <v>9</v>
      </c>
      <c r="C165" s="2">
        <v>0</v>
      </c>
      <c r="D165" s="2">
        <v>12</v>
      </c>
      <c r="E165">
        <f t="shared" si="2"/>
        <v>0</v>
      </c>
    </row>
    <row r="166" spans="1:5" x14ac:dyDescent="0.25">
      <c r="A166" s="2">
        <v>2017</v>
      </c>
      <c r="B166" s="3" t="s">
        <v>10</v>
      </c>
      <c r="C166" s="2">
        <v>39</v>
      </c>
      <c r="D166" s="2">
        <v>42</v>
      </c>
      <c r="E166">
        <f t="shared" si="2"/>
        <v>0.9285714285714286</v>
      </c>
    </row>
    <row r="167" spans="1:5" x14ac:dyDescent="0.25">
      <c r="A167" s="2">
        <v>2017</v>
      </c>
      <c r="B167" s="3" t="s">
        <v>11</v>
      </c>
      <c r="C167" s="2">
        <v>3</v>
      </c>
      <c r="D167" s="2">
        <v>37</v>
      </c>
      <c r="E167">
        <f t="shared" si="2"/>
        <v>8.1081081081081086E-2</v>
      </c>
    </row>
    <row r="168" spans="1:5" x14ac:dyDescent="0.25">
      <c r="A168" s="2">
        <v>2018</v>
      </c>
      <c r="B168" s="3" t="s">
        <v>4</v>
      </c>
      <c r="C168" s="2">
        <v>7</v>
      </c>
      <c r="D168" s="2">
        <v>39</v>
      </c>
      <c r="E168">
        <f t="shared" si="2"/>
        <v>0.17948717948717949</v>
      </c>
    </row>
    <row r="169" spans="1:5" x14ac:dyDescent="0.25">
      <c r="A169" s="2">
        <v>2018</v>
      </c>
      <c r="B169" s="3" t="s">
        <v>5</v>
      </c>
      <c r="C169" s="2">
        <v>9</v>
      </c>
      <c r="D169" s="2">
        <v>39</v>
      </c>
      <c r="E169">
        <f t="shared" si="2"/>
        <v>0.23076923076923078</v>
      </c>
    </row>
    <row r="170" spans="1:5" x14ac:dyDescent="0.25">
      <c r="A170" s="2">
        <v>2018</v>
      </c>
      <c r="B170" s="3" t="s">
        <v>6</v>
      </c>
      <c r="C170" s="2">
        <v>0</v>
      </c>
      <c r="D170" s="2">
        <v>5</v>
      </c>
      <c r="E170">
        <f t="shared" si="2"/>
        <v>0</v>
      </c>
    </row>
    <row r="171" spans="1:5" x14ac:dyDescent="0.25">
      <c r="A171" s="2">
        <v>2018</v>
      </c>
      <c r="B171" s="3" t="s">
        <v>7</v>
      </c>
      <c r="C171" s="2">
        <v>2</v>
      </c>
      <c r="D171" s="2">
        <v>39</v>
      </c>
      <c r="E171">
        <f t="shared" si="2"/>
        <v>5.128205128205128E-2</v>
      </c>
    </row>
    <row r="172" spans="1:5" x14ac:dyDescent="0.25">
      <c r="A172" s="2">
        <v>2018</v>
      </c>
      <c r="B172" s="3" t="s">
        <v>8</v>
      </c>
      <c r="C172" s="2">
        <v>12</v>
      </c>
      <c r="D172" s="2">
        <v>46</v>
      </c>
      <c r="E172">
        <f t="shared" si="2"/>
        <v>0.2608695652173913</v>
      </c>
    </row>
    <row r="173" spans="1:5" x14ac:dyDescent="0.25">
      <c r="A173" s="2">
        <v>2018</v>
      </c>
      <c r="B173" s="3" t="s">
        <v>9</v>
      </c>
      <c r="C173" s="2">
        <v>0</v>
      </c>
      <c r="D173" s="2">
        <v>11</v>
      </c>
      <c r="E173">
        <f t="shared" si="2"/>
        <v>0</v>
      </c>
    </row>
    <row r="174" spans="1:5" x14ac:dyDescent="0.25">
      <c r="A174" s="2">
        <v>2018</v>
      </c>
      <c r="B174" s="3" t="s">
        <v>10</v>
      </c>
      <c r="C174" s="2">
        <v>36</v>
      </c>
      <c r="D174" s="2">
        <v>41</v>
      </c>
      <c r="E174">
        <f t="shared" si="2"/>
        <v>0.87804878048780488</v>
      </c>
    </row>
    <row r="175" spans="1:5" x14ac:dyDescent="0.25">
      <c r="A175" s="2">
        <v>2018</v>
      </c>
      <c r="B175" s="3" t="s">
        <v>11</v>
      </c>
      <c r="C175" s="2">
        <v>0</v>
      </c>
      <c r="D175" s="2">
        <v>33</v>
      </c>
      <c r="E175">
        <f t="shared" si="2"/>
        <v>0</v>
      </c>
    </row>
    <row r="176" spans="1:5" x14ac:dyDescent="0.25">
      <c r="A176" s="2">
        <v>2019</v>
      </c>
      <c r="B176" s="3" t="s">
        <v>4</v>
      </c>
      <c r="C176" s="2">
        <v>5</v>
      </c>
      <c r="D176" s="2">
        <v>30</v>
      </c>
      <c r="E176">
        <f t="shared" si="2"/>
        <v>0.16666666666666666</v>
      </c>
    </row>
    <row r="177" spans="1:5" x14ac:dyDescent="0.25">
      <c r="A177" s="2">
        <v>2019</v>
      </c>
      <c r="B177" s="3" t="s">
        <v>5</v>
      </c>
      <c r="C177" s="2">
        <v>2</v>
      </c>
      <c r="D177" s="2">
        <v>23</v>
      </c>
      <c r="E177">
        <f t="shared" si="2"/>
        <v>8.6956521739130432E-2</v>
      </c>
    </row>
    <row r="178" spans="1:5" x14ac:dyDescent="0.25">
      <c r="A178" s="2">
        <v>2019</v>
      </c>
      <c r="B178" s="3" t="s">
        <v>6</v>
      </c>
      <c r="C178" s="2">
        <v>0</v>
      </c>
      <c r="D178" s="2">
        <v>5</v>
      </c>
      <c r="E178">
        <f t="shared" si="2"/>
        <v>0</v>
      </c>
    </row>
    <row r="179" spans="1:5" x14ac:dyDescent="0.25">
      <c r="A179" s="2">
        <v>2019</v>
      </c>
      <c r="B179" s="3" t="s">
        <v>7</v>
      </c>
      <c r="C179" s="2">
        <v>0</v>
      </c>
      <c r="D179" s="2">
        <v>30</v>
      </c>
      <c r="E179">
        <f t="shared" si="2"/>
        <v>0</v>
      </c>
    </row>
    <row r="180" spans="1:5" x14ac:dyDescent="0.25">
      <c r="A180" s="2">
        <v>2019</v>
      </c>
      <c r="B180" s="3" t="s">
        <v>8</v>
      </c>
      <c r="C180" s="2">
        <v>7</v>
      </c>
      <c r="D180" s="2">
        <v>34</v>
      </c>
      <c r="E180">
        <f t="shared" si="2"/>
        <v>0.20588235294117646</v>
      </c>
    </row>
    <row r="181" spans="1:5" x14ac:dyDescent="0.25">
      <c r="A181" s="2">
        <v>2019</v>
      </c>
      <c r="B181" s="3" t="s">
        <v>9</v>
      </c>
      <c r="C181" s="2">
        <v>0</v>
      </c>
      <c r="D181" s="2">
        <v>10</v>
      </c>
      <c r="E181">
        <f t="shared" si="2"/>
        <v>0</v>
      </c>
    </row>
    <row r="182" spans="1:5" x14ac:dyDescent="0.25">
      <c r="A182" s="2">
        <v>2019</v>
      </c>
      <c r="B182" s="3" t="s">
        <v>10</v>
      </c>
      <c r="C182" s="2">
        <v>27</v>
      </c>
      <c r="D182" s="2">
        <v>30</v>
      </c>
      <c r="E182">
        <f t="shared" si="2"/>
        <v>0.9</v>
      </c>
    </row>
    <row r="183" spans="1:5" x14ac:dyDescent="0.25">
      <c r="A183" s="2">
        <v>2019</v>
      </c>
      <c r="B183" s="3" t="s">
        <v>11</v>
      </c>
      <c r="C183" s="2">
        <v>1</v>
      </c>
      <c r="D183" s="2">
        <v>28</v>
      </c>
      <c r="E183">
        <f t="shared" si="2"/>
        <v>3.5714285714285712E-2</v>
      </c>
    </row>
    <row r="184" spans="1:5" x14ac:dyDescent="0.25">
      <c r="A184" s="2">
        <v>2020</v>
      </c>
      <c r="B184" s="3" t="s">
        <v>4</v>
      </c>
      <c r="C184" s="2">
        <v>3</v>
      </c>
      <c r="D184" s="2">
        <v>6</v>
      </c>
      <c r="E184">
        <f t="shared" si="2"/>
        <v>0.5</v>
      </c>
    </row>
    <row r="185" spans="1:5" x14ac:dyDescent="0.25">
      <c r="A185" s="2">
        <v>2020</v>
      </c>
      <c r="B185" s="3" t="s">
        <v>5</v>
      </c>
      <c r="C185" s="2">
        <v>0</v>
      </c>
      <c r="D185" s="2">
        <v>4</v>
      </c>
      <c r="E185">
        <f t="shared" si="2"/>
        <v>0</v>
      </c>
    </row>
    <row r="186" spans="1:5" x14ac:dyDescent="0.25">
      <c r="A186" s="2">
        <v>2020</v>
      </c>
      <c r="B186" s="3" t="s">
        <v>7</v>
      </c>
      <c r="C186" s="2">
        <v>0</v>
      </c>
      <c r="D186" s="2">
        <v>2</v>
      </c>
      <c r="E186">
        <f t="shared" si="2"/>
        <v>0</v>
      </c>
    </row>
    <row r="187" spans="1:5" x14ac:dyDescent="0.25">
      <c r="A187" s="2">
        <v>2020</v>
      </c>
      <c r="B187" s="3" t="s">
        <v>8</v>
      </c>
      <c r="C187" s="2">
        <v>0</v>
      </c>
      <c r="D187" s="2">
        <v>2</v>
      </c>
      <c r="E187">
        <f t="shared" si="2"/>
        <v>0</v>
      </c>
    </row>
    <row r="188" spans="1:5" x14ac:dyDescent="0.25">
      <c r="A188" s="2">
        <v>2020</v>
      </c>
      <c r="B188" s="3" t="s">
        <v>9</v>
      </c>
      <c r="C188" s="2">
        <v>0</v>
      </c>
      <c r="D188" s="2">
        <v>2</v>
      </c>
      <c r="E188">
        <f t="shared" si="2"/>
        <v>0</v>
      </c>
    </row>
    <row r="189" spans="1:5" x14ac:dyDescent="0.25">
      <c r="A189" s="2">
        <v>2020</v>
      </c>
      <c r="B189" s="3" t="s">
        <v>10</v>
      </c>
      <c r="C189" s="2">
        <v>1</v>
      </c>
      <c r="D189" s="2">
        <v>2</v>
      </c>
      <c r="E189">
        <f t="shared" si="2"/>
        <v>0.5</v>
      </c>
    </row>
    <row r="190" spans="1:5" x14ac:dyDescent="0.25">
      <c r="A190" s="2">
        <v>2020</v>
      </c>
      <c r="B190" s="3" t="s">
        <v>11</v>
      </c>
      <c r="C190" s="2">
        <v>0</v>
      </c>
      <c r="D190" s="2">
        <v>2</v>
      </c>
      <c r="E190">
        <f t="shared" si="2"/>
        <v>0</v>
      </c>
    </row>
    <row r="191" spans="1:5" x14ac:dyDescent="0.25">
      <c r="A191" s="2">
        <v>2021</v>
      </c>
      <c r="B191" s="3" t="s">
        <v>4</v>
      </c>
      <c r="C191" s="2">
        <v>3</v>
      </c>
      <c r="D191" s="2">
        <v>24</v>
      </c>
      <c r="E191">
        <f t="shared" si="2"/>
        <v>0.125</v>
      </c>
    </row>
    <row r="192" spans="1:5" x14ac:dyDescent="0.25">
      <c r="A192" s="2">
        <v>2021</v>
      </c>
      <c r="B192" s="3" t="s">
        <v>5</v>
      </c>
      <c r="C192" s="2">
        <v>0</v>
      </c>
      <c r="D192" s="2">
        <v>26</v>
      </c>
      <c r="E192">
        <f t="shared" si="2"/>
        <v>0</v>
      </c>
    </row>
    <row r="193" spans="1:5" x14ac:dyDescent="0.25">
      <c r="A193" s="2">
        <v>2021</v>
      </c>
      <c r="B193" s="3" t="s">
        <v>6</v>
      </c>
      <c r="C193" s="2">
        <v>0</v>
      </c>
      <c r="D193" s="2">
        <v>12</v>
      </c>
      <c r="E193">
        <f t="shared" si="2"/>
        <v>0</v>
      </c>
    </row>
    <row r="194" spans="1:5" x14ac:dyDescent="0.25">
      <c r="A194" s="2">
        <v>2021</v>
      </c>
      <c r="B194" s="3" t="s">
        <v>7</v>
      </c>
      <c r="C194" s="2">
        <v>0</v>
      </c>
      <c r="D194" s="2">
        <v>23</v>
      </c>
      <c r="E194">
        <f t="shared" si="2"/>
        <v>0</v>
      </c>
    </row>
    <row r="195" spans="1:5" x14ac:dyDescent="0.25">
      <c r="A195" s="2">
        <v>2021</v>
      </c>
      <c r="B195" s="3" t="s">
        <v>8</v>
      </c>
      <c r="C195" s="2">
        <v>4</v>
      </c>
      <c r="D195" s="2">
        <v>27</v>
      </c>
      <c r="E195">
        <f t="shared" si="2"/>
        <v>0.14814814814814814</v>
      </c>
    </row>
    <row r="196" spans="1:5" x14ac:dyDescent="0.25">
      <c r="A196" s="2">
        <v>2021</v>
      </c>
      <c r="B196" s="3" t="s">
        <v>9</v>
      </c>
      <c r="C196" s="2">
        <v>0</v>
      </c>
      <c r="D196" s="2">
        <v>11</v>
      </c>
      <c r="E196">
        <f t="shared" si="2"/>
        <v>0</v>
      </c>
    </row>
    <row r="197" spans="1:5" x14ac:dyDescent="0.25">
      <c r="A197" s="2">
        <v>2021</v>
      </c>
      <c r="B197" s="3" t="s">
        <v>10</v>
      </c>
      <c r="C197" s="2">
        <v>10</v>
      </c>
      <c r="D197" s="2">
        <v>28</v>
      </c>
      <c r="E197">
        <f t="shared" si="2"/>
        <v>0.35714285714285715</v>
      </c>
    </row>
    <row r="198" spans="1:5" x14ac:dyDescent="0.25">
      <c r="A198" s="2">
        <v>2021</v>
      </c>
      <c r="B198" s="3" t="s">
        <v>11</v>
      </c>
      <c r="C198" s="2">
        <v>0</v>
      </c>
      <c r="D198" s="2">
        <v>21</v>
      </c>
      <c r="E198">
        <f t="shared" si="2"/>
        <v>0</v>
      </c>
    </row>
    <row r="199" spans="1:5" x14ac:dyDescent="0.25">
      <c r="A199" s="2">
        <v>2022</v>
      </c>
      <c r="B199" s="3" t="s">
        <v>4</v>
      </c>
      <c r="C199" s="2">
        <v>13</v>
      </c>
      <c r="D199" s="2">
        <v>35</v>
      </c>
      <c r="E199">
        <f t="shared" si="2"/>
        <v>0.37142857142857144</v>
      </c>
    </row>
    <row r="200" spans="1:5" x14ac:dyDescent="0.25">
      <c r="A200" s="2">
        <v>2022</v>
      </c>
      <c r="B200" s="3" t="s">
        <v>5</v>
      </c>
      <c r="C200" s="2">
        <v>3</v>
      </c>
      <c r="D200" s="2">
        <v>19</v>
      </c>
      <c r="E200">
        <f t="shared" si="2"/>
        <v>0.15789473684210525</v>
      </c>
    </row>
    <row r="201" spans="1:5" x14ac:dyDescent="0.25">
      <c r="A201" s="2">
        <v>2022</v>
      </c>
      <c r="B201" s="3" t="s">
        <v>6</v>
      </c>
      <c r="C201" s="2">
        <v>0</v>
      </c>
      <c r="D201" s="2">
        <v>13</v>
      </c>
      <c r="E201">
        <f t="shared" si="2"/>
        <v>0</v>
      </c>
    </row>
    <row r="202" spans="1:5" x14ac:dyDescent="0.25">
      <c r="A202" s="2">
        <v>2022</v>
      </c>
      <c r="B202" s="3" t="s">
        <v>7</v>
      </c>
      <c r="C202" s="2">
        <v>0</v>
      </c>
      <c r="D202" s="2">
        <v>34</v>
      </c>
      <c r="E202">
        <f t="shared" si="2"/>
        <v>0</v>
      </c>
    </row>
    <row r="203" spans="1:5" x14ac:dyDescent="0.25">
      <c r="A203" s="2">
        <v>2022</v>
      </c>
      <c r="B203" s="3" t="s">
        <v>8</v>
      </c>
      <c r="C203" s="2">
        <v>5</v>
      </c>
      <c r="D203" s="2">
        <v>32</v>
      </c>
      <c r="E203">
        <f t="shared" si="2"/>
        <v>0.15625</v>
      </c>
    </row>
    <row r="204" spans="1:5" x14ac:dyDescent="0.25">
      <c r="A204" s="2">
        <v>2022</v>
      </c>
      <c r="B204" s="3" t="s">
        <v>9</v>
      </c>
      <c r="C204" s="2">
        <v>0</v>
      </c>
      <c r="D204" s="2">
        <v>10</v>
      </c>
      <c r="E204">
        <f t="shared" si="2"/>
        <v>0</v>
      </c>
    </row>
    <row r="205" spans="1:5" x14ac:dyDescent="0.25">
      <c r="A205" s="2">
        <v>2022</v>
      </c>
      <c r="B205" s="3" t="s">
        <v>10</v>
      </c>
      <c r="C205" s="2">
        <v>13</v>
      </c>
      <c r="D205" s="2">
        <v>23</v>
      </c>
      <c r="E205">
        <f t="shared" si="2"/>
        <v>0.56521739130434778</v>
      </c>
    </row>
    <row r="206" spans="1:5" x14ac:dyDescent="0.25">
      <c r="A206" s="2">
        <v>2022</v>
      </c>
      <c r="B206" s="3" t="s">
        <v>11</v>
      </c>
      <c r="C206" s="2">
        <v>0</v>
      </c>
      <c r="D206" s="2">
        <v>17</v>
      </c>
      <c r="E206">
        <f t="shared" si="2"/>
        <v>0</v>
      </c>
    </row>
    <row r="207" spans="1:5" x14ac:dyDescent="0.25">
      <c r="A207" s="2">
        <v>2023</v>
      </c>
      <c r="B207" s="3" t="s">
        <v>4</v>
      </c>
      <c r="C207" s="2">
        <v>17</v>
      </c>
      <c r="D207" s="2">
        <v>38</v>
      </c>
      <c r="E207">
        <f t="shared" si="2"/>
        <v>0.44736842105263158</v>
      </c>
    </row>
    <row r="208" spans="1:5" x14ac:dyDescent="0.25">
      <c r="A208" s="2">
        <v>2023</v>
      </c>
      <c r="B208" s="3" t="s">
        <v>5</v>
      </c>
      <c r="C208" s="2">
        <v>2</v>
      </c>
      <c r="D208" s="2">
        <v>23</v>
      </c>
      <c r="E208">
        <f t="shared" si="2"/>
        <v>8.6956521739130432E-2</v>
      </c>
    </row>
    <row r="209" spans="1:5" x14ac:dyDescent="0.25">
      <c r="A209" s="2">
        <v>2023</v>
      </c>
      <c r="B209" s="3" t="s">
        <v>6</v>
      </c>
      <c r="C209" s="2">
        <v>1</v>
      </c>
      <c r="D209" s="2">
        <v>12</v>
      </c>
      <c r="E209">
        <f t="shared" si="2"/>
        <v>8.3333333333333329E-2</v>
      </c>
    </row>
    <row r="210" spans="1:5" x14ac:dyDescent="0.25">
      <c r="A210" s="2">
        <v>2023</v>
      </c>
      <c r="B210" s="3" t="s">
        <v>7</v>
      </c>
      <c r="C210" s="2">
        <v>0</v>
      </c>
      <c r="D210" s="2">
        <v>36</v>
      </c>
      <c r="E210">
        <f t="shared" si="2"/>
        <v>0</v>
      </c>
    </row>
    <row r="211" spans="1:5" x14ac:dyDescent="0.25">
      <c r="A211" s="2">
        <v>2023</v>
      </c>
      <c r="B211" s="3" t="s">
        <v>8</v>
      </c>
      <c r="C211" s="2">
        <v>5</v>
      </c>
      <c r="D211" s="2">
        <v>41</v>
      </c>
      <c r="E211">
        <f t="shared" ref="E211:E230" si="3">C211/D211</f>
        <v>0.12195121951219512</v>
      </c>
    </row>
    <row r="212" spans="1:5" x14ac:dyDescent="0.25">
      <c r="A212" s="2">
        <v>2023</v>
      </c>
      <c r="B212" s="3" t="s">
        <v>9</v>
      </c>
      <c r="C212" s="2">
        <v>0</v>
      </c>
      <c r="D212" s="2">
        <v>11</v>
      </c>
      <c r="E212">
        <f t="shared" si="3"/>
        <v>0</v>
      </c>
    </row>
    <row r="213" spans="1:5" x14ac:dyDescent="0.25">
      <c r="A213" s="2">
        <v>2023</v>
      </c>
      <c r="B213" s="3" t="s">
        <v>10</v>
      </c>
      <c r="C213" s="2">
        <v>4</v>
      </c>
      <c r="D213" s="2">
        <v>20</v>
      </c>
      <c r="E213">
        <f t="shared" si="3"/>
        <v>0.2</v>
      </c>
    </row>
    <row r="214" spans="1:5" x14ac:dyDescent="0.25">
      <c r="A214" s="2">
        <v>2023</v>
      </c>
      <c r="B214" s="3" t="s">
        <v>11</v>
      </c>
      <c r="C214" s="2">
        <v>2</v>
      </c>
      <c r="D214" s="2">
        <v>22</v>
      </c>
      <c r="E214">
        <f t="shared" si="3"/>
        <v>9.0909090909090912E-2</v>
      </c>
    </row>
    <row r="215" spans="1:5" x14ac:dyDescent="0.25">
      <c r="A215" s="7">
        <v>2024</v>
      </c>
      <c r="B215" s="8" t="s">
        <v>4</v>
      </c>
      <c r="C215" s="7">
        <v>22</v>
      </c>
      <c r="D215" s="7">
        <v>38</v>
      </c>
      <c r="E215">
        <f t="shared" si="3"/>
        <v>0.57894736842105265</v>
      </c>
    </row>
    <row r="216" spans="1:5" x14ac:dyDescent="0.25">
      <c r="A216" s="7">
        <v>2024</v>
      </c>
      <c r="B216" s="8" t="s">
        <v>5</v>
      </c>
      <c r="C216" s="7">
        <v>2</v>
      </c>
      <c r="D216" s="7">
        <v>26</v>
      </c>
      <c r="E216">
        <f t="shared" si="3"/>
        <v>7.6923076923076927E-2</v>
      </c>
    </row>
    <row r="217" spans="1:5" x14ac:dyDescent="0.25">
      <c r="A217" s="7">
        <v>2024</v>
      </c>
      <c r="B217" s="8" t="s">
        <v>6</v>
      </c>
      <c r="C217" s="7">
        <v>2</v>
      </c>
      <c r="D217" s="7">
        <v>17</v>
      </c>
      <c r="E217">
        <f t="shared" si="3"/>
        <v>0.11764705882352941</v>
      </c>
    </row>
    <row r="218" spans="1:5" x14ac:dyDescent="0.25">
      <c r="A218" s="7">
        <v>2024</v>
      </c>
      <c r="B218" s="8" t="s">
        <v>7</v>
      </c>
      <c r="C218" s="7">
        <v>0</v>
      </c>
      <c r="D218" s="7">
        <v>37</v>
      </c>
      <c r="E218">
        <f t="shared" si="3"/>
        <v>0</v>
      </c>
    </row>
    <row r="219" spans="1:5" x14ac:dyDescent="0.25">
      <c r="A219" s="7">
        <v>2024</v>
      </c>
      <c r="B219" s="8" t="s">
        <v>8</v>
      </c>
      <c r="C219" s="7">
        <v>6</v>
      </c>
      <c r="D219" s="7">
        <v>43</v>
      </c>
      <c r="E219">
        <f t="shared" si="3"/>
        <v>0.13953488372093023</v>
      </c>
    </row>
    <row r="220" spans="1:5" x14ac:dyDescent="0.25">
      <c r="A220" s="7">
        <v>2024</v>
      </c>
      <c r="B220" s="8" t="s">
        <v>10</v>
      </c>
      <c r="C220" s="7">
        <v>9</v>
      </c>
      <c r="D220" s="7">
        <v>25</v>
      </c>
      <c r="E220">
        <f t="shared" si="3"/>
        <v>0.36</v>
      </c>
    </row>
    <row r="221" spans="1:5" x14ac:dyDescent="0.25">
      <c r="A221" s="7">
        <v>2024</v>
      </c>
      <c r="B221" s="8" t="s">
        <v>11</v>
      </c>
      <c r="C221" s="7">
        <v>0</v>
      </c>
      <c r="D221" s="7">
        <v>18</v>
      </c>
      <c r="E221">
        <f t="shared" si="3"/>
        <v>0</v>
      </c>
    </row>
    <row r="222" spans="1:5" x14ac:dyDescent="0.25">
      <c r="A222" s="11">
        <v>2024</v>
      </c>
      <c r="B222" s="12" t="s">
        <v>9</v>
      </c>
      <c r="C222" s="11">
        <v>0</v>
      </c>
      <c r="D222" s="11">
        <v>11</v>
      </c>
      <c r="E222">
        <f t="shared" si="3"/>
        <v>0</v>
      </c>
    </row>
    <row r="223" spans="1:5" x14ac:dyDescent="0.25">
      <c r="A223" s="13">
        <v>2025</v>
      </c>
      <c r="B223" s="14" t="s">
        <v>4</v>
      </c>
      <c r="C223" s="13">
        <v>11</v>
      </c>
      <c r="D223" s="13">
        <v>42</v>
      </c>
      <c r="E223">
        <f t="shared" si="3"/>
        <v>0.26190476190476192</v>
      </c>
    </row>
    <row r="224" spans="1:5" x14ac:dyDescent="0.25">
      <c r="A224" s="13">
        <v>2025</v>
      </c>
      <c r="B224" s="14" t="s">
        <v>5</v>
      </c>
      <c r="C224" s="13">
        <v>6</v>
      </c>
      <c r="D224" s="13">
        <v>30</v>
      </c>
      <c r="E224">
        <f t="shared" si="3"/>
        <v>0.2</v>
      </c>
    </row>
    <row r="225" spans="1:5" x14ac:dyDescent="0.25">
      <c r="A225" s="13">
        <v>2025</v>
      </c>
      <c r="B225" s="14" t="s">
        <v>6</v>
      </c>
      <c r="C225" s="13">
        <v>1</v>
      </c>
      <c r="D225" s="13">
        <v>22</v>
      </c>
      <c r="E225">
        <f t="shared" si="3"/>
        <v>4.5454545454545456E-2</v>
      </c>
    </row>
    <row r="226" spans="1:5" x14ac:dyDescent="0.25">
      <c r="A226" s="13">
        <v>2025</v>
      </c>
      <c r="B226" s="14" t="s">
        <v>7</v>
      </c>
      <c r="C226" s="13">
        <v>0</v>
      </c>
      <c r="D226" s="13">
        <v>38</v>
      </c>
      <c r="E226">
        <f t="shared" si="3"/>
        <v>0</v>
      </c>
    </row>
    <row r="227" spans="1:5" x14ac:dyDescent="0.25">
      <c r="A227" s="13">
        <v>2025</v>
      </c>
      <c r="B227" s="14" t="s">
        <v>8</v>
      </c>
      <c r="C227" s="13">
        <v>4</v>
      </c>
      <c r="D227" s="13">
        <v>42</v>
      </c>
      <c r="E227">
        <f t="shared" si="3"/>
        <v>9.5238095238095233E-2</v>
      </c>
    </row>
    <row r="228" spans="1:5" x14ac:dyDescent="0.25">
      <c r="A228" s="13">
        <v>2025</v>
      </c>
      <c r="B228" s="14" t="s">
        <v>10</v>
      </c>
      <c r="C228" s="13">
        <v>18</v>
      </c>
      <c r="D228" s="13">
        <v>33</v>
      </c>
      <c r="E228">
        <f t="shared" si="3"/>
        <v>0.54545454545454541</v>
      </c>
    </row>
    <row r="229" spans="1:5" x14ac:dyDescent="0.25">
      <c r="A229" s="13">
        <v>2025</v>
      </c>
      <c r="B229" s="14" t="s">
        <v>11</v>
      </c>
      <c r="C229" s="13">
        <v>0</v>
      </c>
      <c r="D229" s="13">
        <v>34</v>
      </c>
      <c r="E229">
        <f t="shared" si="3"/>
        <v>0</v>
      </c>
    </row>
    <row r="230" spans="1:5" x14ac:dyDescent="0.25">
      <c r="A230" s="15">
        <v>2025</v>
      </c>
      <c r="B230" s="16" t="s">
        <v>9</v>
      </c>
      <c r="C230" s="15">
        <v>0</v>
      </c>
      <c r="D230" s="15">
        <v>12</v>
      </c>
      <c r="E230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FCB4-F23F-4DC9-8FDC-4D9E98477EC2}">
  <dimension ref="A1:Q24"/>
  <sheetViews>
    <sheetView workbookViewId="0">
      <selection activeCell="H9" sqref="H9"/>
    </sheetView>
  </sheetViews>
  <sheetFormatPr defaultRowHeight="15" x14ac:dyDescent="0.25"/>
  <cols>
    <col min="2" max="2" width="9.140625" customWidth="1"/>
    <col min="5" max="5" width="10.85546875" customWidth="1"/>
    <col min="7" max="7" width="17.5703125" customWidth="1"/>
    <col min="8" max="8" width="18.5703125" customWidth="1"/>
    <col min="9" max="9" width="17" customWidth="1"/>
    <col min="10" max="10" width="20.5703125" customWidth="1"/>
    <col min="11" max="11" width="18.85546875" customWidth="1"/>
    <col min="12" max="12" width="16.28515625" customWidth="1"/>
    <col min="13" max="13" width="18.28515625" customWidth="1"/>
    <col min="14" max="14" width="17.28515625" customWidth="1"/>
    <col min="16" max="16" width="25.5703125" customWidth="1"/>
  </cols>
  <sheetData>
    <row r="1" spans="1:17" x14ac:dyDescent="0.25">
      <c r="A1" t="s">
        <v>64</v>
      </c>
    </row>
    <row r="3" spans="1:17" x14ac:dyDescent="0.25">
      <c r="A3" t="s">
        <v>63</v>
      </c>
    </row>
    <row r="4" spans="1:17" x14ac:dyDescent="0.25">
      <c r="A4" t="s">
        <v>61</v>
      </c>
    </row>
    <row r="5" spans="1:17" x14ac:dyDescent="0.25">
      <c r="A5" s="10" t="s">
        <v>13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30" x14ac:dyDescent="0.25">
      <c r="B6" s="9" t="s">
        <v>14</v>
      </c>
      <c r="C6" s="9" t="s">
        <v>15</v>
      </c>
      <c r="D6" s="9" t="s">
        <v>16</v>
      </c>
      <c r="E6" s="9" t="s">
        <v>17</v>
      </c>
      <c r="F6" s="9" t="s">
        <v>18</v>
      </c>
      <c r="G6" s="9" t="s">
        <v>19</v>
      </c>
      <c r="H6" s="9" t="s">
        <v>20</v>
      </c>
      <c r="I6" s="9" t="s">
        <v>21</v>
      </c>
      <c r="J6" s="9" t="s">
        <v>1</v>
      </c>
      <c r="K6" s="9" t="s">
        <v>22</v>
      </c>
      <c r="L6" s="9" t="s">
        <v>23</v>
      </c>
      <c r="M6" s="9" t="s">
        <v>24</v>
      </c>
      <c r="N6" s="9" t="s">
        <v>25</v>
      </c>
      <c r="O6" s="9" t="s">
        <v>26</v>
      </c>
      <c r="P6" s="9" t="s">
        <v>1</v>
      </c>
      <c r="Q6" s="9"/>
    </row>
    <row r="7" spans="1:17" ht="30" x14ac:dyDescent="0.25">
      <c r="B7" s="9" t="s">
        <v>27</v>
      </c>
      <c r="C7" s="9" t="s">
        <v>28</v>
      </c>
      <c r="D7" s="9" t="s">
        <v>28</v>
      </c>
      <c r="E7" s="9" t="s">
        <v>28</v>
      </c>
      <c r="F7" s="9" t="s">
        <v>28</v>
      </c>
      <c r="G7" s="9" t="s">
        <v>29</v>
      </c>
      <c r="H7" s="9" t="s">
        <v>29</v>
      </c>
      <c r="I7" s="9" t="s">
        <v>29</v>
      </c>
      <c r="J7" s="9"/>
      <c r="K7" s="9"/>
      <c r="L7" s="9"/>
      <c r="M7" s="9"/>
      <c r="N7" s="9" t="s">
        <v>28</v>
      </c>
      <c r="O7" s="9" t="s">
        <v>30</v>
      </c>
      <c r="P7" s="9" t="s">
        <v>31</v>
      </c>
      <c r="Q7" s="9"/>
    </row>
    <row r="8" spans="1:17" x14ac:dyDescent="0.25">
      <c r="B8" s="9" t="s">
        <v>32</v>
      </c>
      <c r="C8" s="9" t="s">
        <v>33</v>
      </c>
      <c r="D8" s="9" t="s">
        <v>33</v>
      </c>
      <c r="E8" s="9" t="s">
        <v>33</v>
      </c>
      <c r="F8" s="9" t="s">
        <v>33</v>
      </c>
      <c r="G8" s="9" t="s">
        <v>33</v>
      </c>
      <c r="H8" s="9" t="s">
        <v>33</v>
      </c>
      <c r="I8" s="9" t="s">
        <v>33</v>
      </c>
      <c r="J8" s="9" t="s">
        <v>33</v>
      </c>
      <c r="K8" s="9" t="s">
        <v>33</v>
      </c>
      <c r="L8" s="9" t="s">
        <v>34</v>
      </c>
      <c r="M8" s="9" t="s">
        <v>34</v>
      </c>
      <c r="N8" s="9" t="s">
        <v>34</v>
      </c>
      <c r="O8" s="9" t="s">
        <v>34</v>
      </c>
      <c r="P8" s="9" t="s">
        <v>34</v>
      </c>
      <c r="Q8" s="9"/>
    </row>
    <row r="9" spans="1:17" ht="75" x14ac:dyDescent="0.25">
      <c r="B9" s="9" t="s">
        <v>35</v>
      </c>
      <c r="C9" s="9"/>
      <c r="D9" s="9"/>
      <c r="E9" s="9"/>
      <c r="F9" s="9"/>
      <c r="G9" s="9"/>
      <c r="H9" s="9" t="s">
        <v>66</v>
      </c>
      <c r="I9" s="9"/>
      <c r="J9" s="9"/>
      <c r="K9" s="9"/>
      <c r="L9" s="9">
        <v>2024</v>
      </c>
      <c r="M9" s="9" t="s">
        <v>62</v>
      </c>
      <c r="N9" s="9" t="s">
        <v>36</v>
      </c>
      <c r="O9" s="9" t="b">
        <v>1</v>
      </c>
      <c r="P9" s="9" t="s">
        <v>37</v>
      </c>
      <c r="Q9" s="9"/>
    </row>
    <row r="10" spans="1:17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25">
      <c r="A11" s="10" t="s">
        <v>38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90" x14ac:dyDescent="0.25">
      <c r="B12" s="9" t="s">
        <v>14</v>
      </c>
      <c r="C12" s="9" t="s">
        <v>15</v>
      </c>
      <c r="D12" s="9" t="s">
        <v>39</v>
      </c>
      <c r="E12" s="9" t="s">
        <v>40</v>
      </c>
      <c r="F12" s="9" t="s">
        <v>41</v>
      </c>
      <c r="G12" s="9" t="s">
        <v>16</v>
      </c>
      <c r="H12" s="9" t="s">
        <v>42</v>
      </c>
      <c r="I12" s="9" t="s">
        <v>43</v>
      </c>
      <c r="J12" s="9" t="s">
        <v>1</v>
      </c>
      <c r="K12" s="9" t="s">
        <v>44</v>
      </c>
      <c r="L12" s="9" t="s">
        <v>45</v>
      </c>
      <c r="M12" s="9" t="s">
        <v>46</v>
      </c>
      <c r="N12" s="9" t="s">
        <v>47</v>
      </c>
      <c r="O12" s="9" t="s">
        <v>25</v>
      </c>
      <c r="P12" s="9"/>
      <c r="Q12" s="9"/>
    </row>
    <row r="13" spans="1:17" ht="30" x14ac:dyDescent="0.25">
      <c r="B13" s="9" t="s">
        <v>27</v>
      </c>
      <c r="C13" s="9" t="s">
        <v>48</v>
      </c>
      <c r="D13" s="9" t="s">
        <v>48</v>
      </c>
      <c r="E13" s="9" t="s">
        <v>48</v>
      </c>
      <c r="F13" s="9" t="s">
        <v>48</v>
      </c>
      <c r="G13" s="9" t="s">
        <v>28</v>
      </c>
      <c r="H13" s="9"/>
      <c r="I13" s="9"/>
      <c r="J13" s="9" t="s">
        <v>48</v>
      </c>
      <c r="K13" s="9"/>
      <c r="L13" s="9"/>
      <c r="M13" s="9" t="s">
        <v>13</v>
      </c>
      <c r="N13" s="9"/>
      <c r="O13" s="9" t="s">
        <v>28</v>
      </c>
      <c r="P13" s="9"/>
      <c r="Q13" s="9"/>
    </row>
    <row r="14" spans="1:17" x14ac:dyDescent="0.25">
      <c r="B14" s="9" t="s">
        <v>32</v>
      </c>
      <c r="C14" s="9" t="s">
        <v>33</v>
      </c>
      <c r="D14" s="9" t="s">
        <v>33</v>
      </c>
      <c r="E14" s="9" t="s">
        <v>33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  <c r="N14" s="9" t="s">
        <v>49</v>
      </c>
      <c r="O14" s="9" t="s">
        <v>33</v>
      </c>
      <c r="P14" s="9"/>
      <c r="Q14" s="9"/>
    </row>
    <row r="15" spans="1:17" x14ac:dyDescent="0.25">
      <c r="B15" s="9" t="s">
        <v>50</v>
      </c>
      <c r="C15" s="9"/>
      <c r="D15" s="9"/>
      <c r="E15" s="9"/>
      <c r="F15" s="9"/>
      <c r="G15" s="9" t="s">
        <v>51</v>
      </c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25">
      <c r="B16" s="9" t="s">
        <v>35</v>
      </c>
      <c r="C16" s="9"/>
      <c r="D16" s="9"/>
      <c r="E16" s="9"/>
      <c r="F16" s="9"/>
      <c r="G16" s="9"/>
      <c r="H16" s="9">
        <v>2024</v>
      </c>
      <c r="I16" s="9" t="s">
        <v>62</v>
      </c>
      <c r="J16" s="9"/>
      <c r="K16" s="9"/>
      <c r="L16" s="9"/>
      <c r="M16" s="9"/>
      <c r="N16" s="9"/>
      <c r="O16" s="9" t="s">
        <v>36</v>
      </c>
      <c r="P16" s="9"/>
      <c r="Q16" s="9"/>
    </row>
    <row r="17" spans="1:17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25">
      <c r="A18" s="10" t="s">
        <v>52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60" x14ac:dyDescent="0.25">
      <c r="B19" s="9" t="s">
        <v>14</v>
      </c>
      <c r="C19" s="9" t="s">
        <v>0</v>
      </c>
      <c r="D19" s="9" t="s">
        <v>1</v>
      </c>
      <c r="E19" s="9" t="s">
        <v>53</v>
      </c>
      <c r="F19" s="9" t="s">
        <v>54</v>
      </c>
      <c r="G19" s="9" t="s">
        <v>55</v>
      </c>
      <c r="H19" s="9" t="s">
        <v>56</v>
      </c>
      <c r="I19" s="9" t="s">
        <v>57</v>
      </c>
      <c r="J19" s="9" t="s">
        <v>58</v>
      </c>
      <c r="K19" s="9"/>
      <c r="L19" s="9"/>
      <c r="M19" s="9"/>
      <c r="N19" s="9"/>
      <c r="O19" s="9"/>
      <c r="P19" s="9"/>
      <c r="Q19" s="9"/>
    </row>
    <row r="20" spans="1:17" ht="60" x14ac:dyDescent="0.25">
      <c r="B20" s="9" t="s">
        <v>27</v>
      </c>
      <c r="C20" s="9" t="s">
        <v>38</v>
      </c>
      <c r="D20" s="9" t="s">
        <v>38</v>
      </c>
      <c r="E20" s="9" t="s">
        <v>59</v>
      </c>
      <c r="F20" s="9" t="s">
        <v>38</v>
      </c>
      <c r="G20" s="9"/>
      <c r="H20" s="9"/>
      <c r="I20" s="9" t="s">
        <v>38</v>
      </c>
      <c r="J20" s="9"/>
      <c r="K20" s="9"/>
      <c r="L20" s="9"/>
      <c r="M20" s="9"/>
      <c r="N20" s="9"/>
      <c r="O20" s="9"/>
      <c r="P20" s="9"/>
      <c r="Q20" s="9"/>
    </row>
    <row r="21" spans="1:17" x14ac:dyDescent="0.25">
      <c r="B21" s="9" t="s">
        <v>32</v>
      </c>
      <c r="C21" s="9" t="s">
        <v>33</v>
      </c>
      <c r="D21" s="9" t="s">
        <v>33</v>
      </c>
      <c r="E21" s="9" t="s">
        <v>33</v>
      </c>
      <c r="F21" s="9" t="s">
        <v>60</v>
      </c>
      <c r="G21" s="9" t="s">
        <v>49</v>
      </c>
      <c r="H21" s="9" t="s">
        <v>49</v>
      </c>
      <c r="I21" s="9" t="s">
        <v>46</v>
      </c>
      <c r="J21" s="9" t="s">
        <v>49</v>
      </c>
      <c r="K21" s="9"/>
      <c r="L21" s="9"/>
      <c r="M21" s="9"/>
      <c r="N21" s="9"/>
      <c r="O21" s="9"/>
      <c r="P21" s="9"/>
      <c r="Q21" s="9"/>
    </row>
    <row r="24" spans="1:17" x14ac:dyDescent="0.25">
      <c r="A24" s="1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HumanDistRate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Codde, Sarah</dc:creator>
  <cp:lastModifiedBy>Codde, Sarah</cp:lastModifiedBy>
  <dcterms:created xsi:type="dcterms:W3CDTF">2024-06-18T18:20:37Z</dcterms:created>
  <dcterms:modified xsi:type="dcterms:W3CDTF">2025-08-27T18:58:04Z</dcterms:modified>
</cp:coreProperties>
</file>